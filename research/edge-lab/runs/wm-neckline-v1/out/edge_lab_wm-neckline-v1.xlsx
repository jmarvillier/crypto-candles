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ests" sheetId="2" state="visible" r:id="rId4"/>
    <sheet name="Par année" sheetId="3" state="visible" r:id="rId5"/>
    <sheet name="Événements OOS par actif" sheetId="4" state="visible" r:id="rId6"/>
    <sheet name="Contrôles" sheetId="5" state="visible" r:id="rId7"/>
    <sheet name="Protoco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<sst xmlns="http://schemas.openxmlformats.org/spreadsheetml/2006/main" count="633" uniqueCount="161">
  <si>
    <t xml:space="preserve">crypto-edge-lab — wm-neckline-v1</t>
  </si>
  <si>
    <t xml:space="preserve">Type event · perp 1d · horizons [5, 10, 20] barres · cible raw · coût aller-retour 0.15% par jambe</t>
  </si>
  <si>
    <t xml:space="preserve">IS 2021-01-01 → 2024-06-30 · OOS 2024-07-01 → 2026-10-14 · 40 actifs · look-ahead OK · run 2026-10-14T13:55:43</t>
  </si>
  <si>
    <t xml:space="preserve">Verdicts</t>
  </si>
  <si>
    <t xml:space="preserve">CANDIDAT</t>
  </si>
  <si>
    <t xml:space="preserve">PISTE</t>
  </si>
  <si>
    <t xml:space="preserve">REJETÉ</t>
  </si>
  <si>
    <t xml:space="preserve">Total tests</t>
  </si>
  <si>
    <t xml:space="preserve">Lecture (à compléter par l'analyse) :</t>
  </si>
  <si>
    <t xml:space="preserve">feature</t>
  </si>
  <si>
    <t xml:space="preserve">test</t>
  </si>
  <si>
    <t xml:space="preserve">h</t>
  </si>
  <si>
    <t xml:space="preserve">sens_attendu</t>
  </si>
  <si>
    <t xml:space="preserve">ret_moy_IS</t>
  </si>
  <si>
    <t xml:space="preserve">t_IS</t>
  </si>
  <si>
    <t xml:space="preserve">n_dates_IS</t>
  </si>
  <si>
    <t xml:space="preserve">n_events_IS</t>
  </si>
  <si>
    <t xml:space="preserve">hit_IS</t>
  </si>
  <si>
    <t xml:space="preserve">hasard_moy_IS</t>
  </si>
  <si>
    <t xml:space="preserve">p_perm_IS</t>
  </si>
  <si>
    <t xml:space="preserve">n_long_IS</t>
  </si>
  <si>
    <t xml:space="preserve">ret_long_IS</t>
  </si>
  <si>
    <t xml:space="preserve">n_short_IS</t>
  </si>
  <si>
    <t xml:space="preserve">ret_short_IS</t>
  </si>
  <si>
    <t xml:space="preserve">ret_moy_OOS</t>
  </si>
  <si>
    <t xml:space="preserve">t_OOS</t>
  </si>
  <si>
    <t xml:space="preserve">n_dates_OOS</t>
  </si>
  <si>
    <t xml:space="preserve">n_events_OOS</t>
  </si>
  <si>
    <t xml:space="preserve">hit_OOS</t>
  </si>
  <si>
    <t xml:space="preserve">hasard_moy_OOS</t>
  </si>
  <si>
    <t xml:space="preserve">p_perm_OOS</t>
  </si>
  <si>
    <t xml:space="preserve">n_long_OOS</t>
  </si>
  <si>
    <t xml:space="preserve">ret_long_OOS</t>
  </si>
  <si>
    <t xml:space="preserve">n_short_OOS</t>
  </si>
  <si>
    <t xml:space="preserve">ret_short_OOS</t>
  </si>
  <si>
    <t xml:space="preserve">annees_ok</t>
  </si>
  <si>
    <t xml:space="preserve">annees_n</t>
  </si>
  <si>
    <t xml:space="preserve">p_OOS</t>
  </si>
  <si>
    <t xml:space="preserve">q_BH</t>
  </si>
  <si>
    <t xml:space="preserve">G0_n_events</t>
  </si>
  <si>
    <t xml:space="preserve">G1_signe</t>
  </si>
  <si>
    <t xml:space="preserve">G2_vs_hasard</t>
  </si>
  <si>
    <t xml:space="preserve">G3_t</t>
  </si>
  <si>
    <t xml:space="preserve">G4_fdr</t>
  </si>
  <si>
    <t xml:space="preserve">G5_IS=OOS</t>
  </si>
  <si>
    <t xml:space="preserve">G6_annees</t>
  </si>
  <si>
    <t xml:space="preserve">G7_net</t>
  </si>
  <si>
    <t xml:space="preserve">net_OOS</t>
  </si>
  <si>
    <t xml:space="preserve">verdict</t>
  </si>
  <si>
    <t xml:space="preserve">alerte</t>
  </si>
  <si>
    <t xml:space="preserve">w_long</t>
  </si>
  <si>
    <t xml:space="preserve">EVENT (raw)</t>
  </si>
  <si>
    <t xml:space="preserve">✔</t>
  </si>
  <si>
    <t xml:space="preserve">✘</t>
  </si>
  <si>
    <t xml:space="preserve">m_short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</si>
  <si>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</si>
  <si>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</si>
  <si>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</si>
  <si>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</si>
  <si>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</si>
  <si>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</si>
  <si>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asset</t>
  </si>
  <si>
    <t xml:space="preserve">n</t>
  </si>
  <si>
    <t xml:space="preserve">ret_moy</t>
  </si>
  <si>
    <t xml:space="preserve">hit_</t>
  </si>
  <si>
    <t xml:space="preserve">AAVE</t>
  </si>
  <si>
    <t xml:space="preserve">ADA</t>
  </si>
  <si>
    <t xml:space="preserve">APE</t>
  </si>
  <si>
    <t xml:space="preserve">ARB</t>
  </si>
  <si>
    <t xml:space="preserve">ATOM</t>
  </si>
  <si>
    <t xml:space="preserve">AVAX</t>
  </si>
  <si>
    <t xml:space="preserve">BCH</t>
  </si>
  <si>
    <t xml:space="preserve">BNB</t>
  </si>
  <si>
    <t xml:space="preserve">BTC</t>
  </si>
  <si>
    <t xml:space="preserve">CRV</t>
  </si>
  <si>
    <t xml:space="preserve">DOGE</t>
  </si>
  <si>
    <t xml:space="preserve">DOT</t>
  </si>
  <si>
    <t xml:space="preserve">DYDX</t>
  </si>
  <si>
    <t xml:space="preserve">ENA</t>
  </si>
  <si>
    <t xml:space="preserve">ETC</t>
  </si>
  <si>
    <t xml:space="preserve">ETH</t>
  </si>
  <si>
    <t xml:space="preserve">FIL</t>
  </si>
  <si>
    <t xml:space="preserve">ICP</t>
  </si>
  <si>
    <t xml:space="preserve">INJ</t>
  </si>
  <si>
    <t xml:space="preserve">LINK</t>
  </si>
  <si>
    <t xml:space="preserve">LTC</t>
  </si>
  <si>
    <t xml:space="preserve">NEAR</t>
  </si>
  <si>
    <t xml:space="preserve">ONDO</t>
  </si>
  <si>
    <t xml:space="preserve">OP</t>
  </si>
  <si>
    <t xml:space="preserve">PEPE</t>
  </si>
  <si>
    <t xml:space="preserve">SAND</t>
  </si>
  <si>
    <t xml:space="preserve">SHIB</t>
  </si>
  <si>
    <t xml:space="preserve">SOL</t>
  </si>
  <si>
    <t xml:space="preserve">SUI</t>
  </si>
  <si>
    <t xml:space="preserve">TAO</t>
  </si>
  <si>
    <t xml:space="preserve">TIA</t>
  </si>
  <si>
    <t xml:space="preserve">TRX</t>
  </si>
  <si>
    <t xml:space="preserve">UNI</t>
  </si>
  <si>
    <t xml:space="preserve">WLD</t>
  </si>
  <si>
    <t xml:space="preserve">XLM</t>
  </si>
  <si>
    <t xml:space="preserve">XRP</t>
  </si>
  <si>
    <t xml:space="preserve">APT</t>
  </si>
  <si>
    <t xml:space="preserve">HYPE</t>
  </si>
  <si>
    <t xml:space="preserve">WIF</t>
  </si>
  <si>
    <t xml:space="preserve">Look-ahead : OK</t>
  </si>
  <si>
    <t xml:space="preserve">Features : w_long, m_short</t>
  </si>
  <si>
    <t xml:space="preserve">Barres avec signal défini, par actif :</t>
  </si>
  <si>
    <t xml:space="preserve">BICO</t>
  </si>
  <si>
    <t xml:space="preserve"># wm-neckline-v1 — pré-enregistrement</t>
  </si>
  <si>
    <t xml:space="preserve">Figé le 2026-10-14, AVANT le premier run (aucun résultat vu). Toute modification après</t>
  </si>
  <si>
    <t xml:space="preserve">résultats = nouvelle version (wm-neckline-v2) pré-déclarée, et les deux runs comptent dans le</t>
  </si>
  <si>
    <t xml:space="preserve">registre.</t>
  </si>
  <si>
    <t xml:space="preserve">GO utilisateur : 2026-10-14 (« oui fais ça »), lancement direct demandé — protocole fixé par</t>
  </si>
  <si>
    <t xml:space="preserve">l'assistant sur les choix standards ci-dessous, sans retour intermédiaire.</t>
  </si>
  <si>
    <t xml:space="preserve">## Hypothèse</t>
  </si>
  <si>
    <t xml:space="preserve">- Idée en une phrase : après un W (double creux) confirmé par une clôture au-dessus de la</t>
  </si>
  <si>
    <t xml:space="preserve">  ligne de cou, le prix monte ; après un M (double sommet) confirmé par une clôture sous la</t>
  </si>
  <si>
    <t xml:space="preserve">  ligne de cou, il baisse. Question pratique : une figure W/M « solide » justifie-t-elle de</t>
  </si>
  <si>
    <t xml:space="preserve">  lancer une grille directionnelle long/short ?</t>
  </si>
  <si>
    <t xml:space="preserve">- Mécanisme supposé : un second test raté d'un niveau signale l'épuisement des vendeurs</t>
  </si>
  <si>
    <t xml:space="preserve">  (W) ou des acheteurs (M) ; la cassure du cou déclenche les stops du camp piégé et les</t>
  </si>
  <si>
    <t xml:space="preserve">  entrées des traders chartistes. Qui paie : le camp piégé au second test. Mécanisme faible —</t>
  </si>
  <si>
    <t xml:space="preserve">  figure très connue, donc possiblement arbitrée ; les familles voisines (SMC/ICT,</t>
  </si>
  <si>
    <t xml:space="preserve">  sweep→MSS→breaker) ont toutes fini NO-GO.</t>
  </si>
  <si>
    <t xml:space="preserve">- Ce qui la falsifierait : rendement moyen OOS ≤ 0, ou pas meilleur que des dates tirées au</t>
  </si>
  <si>
    <t xml:space="preserve">  hasard (p_perm &gt; 0,05), ou signe instable d'une année à l'autre.</t>
  </si>
  <si>
    <t xml:space="preserve">## Signal</t>
  </si>
  <si>
    <t xml:space="preserve">- Type : event (+1 = long après W, −1 = short après M)</t>
  </si>
  <si>
    <t xml:space="preserve">- Définition exacte (barres 1Dutc, position prise à la clôture de la barre de cassure) :</t>
  </si>
  <si>
    <t xml:space="preserve">  - pivots fractals K = 5 : plus bas (plus haut) strict des barres [i−5, i+5], connu</t>
  </si>
  <si>
    <t xml:space="preserve">    seulement à la clôture de i+5 ;</t>
  </si>
  <si>
    <t xml:space="preserve">  - deux pivots consécutifs espacés de 10 à 60 barres, d'écart ≤ 3 % ;</t>
  </si>
  <si>
    <t xml:space="preserve">  - ligne de cou = plus haut (W) / plus bas (M) entre les deux pivots ;</t>
  </si>
  <si>
    <t xml:space="preserve">  - hauteur ≥ 5 % du cou ;</t>
  </si>
  <si>
    <t xml:space="preserve">  - événement à la 1re clôture au-delà du cou, au plus 30 barres après la confirmation du</t>
  </si>
  <si>
    <t xml:space="preserve">    2e pivot, si aucune clôture n'a franchi le pire des deux pivots entre-temps ;</t>
  </si>
  <si>
    <t xml:space="preserve">  - un événement par figure ; cooldown moteur par défaut (h barres).</t>
  </si>
  <si>
    <t xml:space="preserve">- Pas de filtre de tendance préalable (W « après une baisse ») : version de base, la plus</t>
  </si>
  <si>
    <t xml:space="preserve">  simple. Un filtre de contexte serait une v2.</t>
  </si>
  <si>
    <t xml:space="preserve">## Données et fenêtres</t>
  </si>
  <si>
    <t xml:space="preserve">- Source / TF : perp 1d ; univers : all (40 actifs, BTC et ETH inclus)</t>
  </si>
  <si>
    <t xml:space="preserve">- IS : 2021-01-01 → 2024-06-30 ; OOS : 2024-07-01 → fin des données (2026-10-13)</t>
  </si>
  <si>
    <t xml:space="preserve">- Données hors OHLCV : aucune ; DATA_SHA = commit de crypto-candles au lancement</t>
  </si>
  <si>
    <t xml:space="preserve">## Tests</t>
  </si>
  <si>
    <t xml:space="preserve">- Horizons (barres) : 5, 10, 20 (≈ durée de vie d'une grille directionnelle) × 2 événements</t>
  </si>
  <si>
    <t xml:space="preserve">  = 6 tests</t>
  </si>
  <si>
    <t xml:space="preserve">- Cible : raw (rendement directionnel brut) ; le test vs hasard (200 décalages circulaires)</t>
  </si>
  <si>
    <t xml:space="preserve">  neutralise la dérive du marché (bear 2025-26 qui favoriserait tout short)</t>
  </si>
  <si>
    <t xml:space="preserve">- Coût aller-retour : 0,15 % (une jambe)</t>
  </si>
  <si>
    <t xml:space="preserve">## Gates (OOS)</t>
  </si>
  <si>
    <t xml:space="preserve">Gates par défaut de references/methodology.md §3, mode event, inchangées :</t>
  </si>
  <si>
    <t xml:space="preserve">G0 ≥ 50 événements OOS, G1 moyenne et t &gt; 0, G2 p_perm ≤ 0,05, G3 t NW ≥ 2, G4 BH q ≤ 0,10,</t>
  </si>
  <si>
    <t xml:space="preserve">G5 IS &gt; 0, G6 ≥ 2/3 des années positives, G7 moyenne − coût &gt; 0 en IS ET en OOS.</t>
  </si>
  <si>
    <t xml:space="preserve">## Contexte de tests multiples</t>
  </si>
  <si>
    <t xml:space="preserve">~114 tests avant ce run (registre 24 + ~90 antérieurs) ; ce run en ajoute 6.</t>
  </si>
  <si>
    <t xml:space="preserve">## Suite prévue selon verdict</t>
  </si>
  <si>
    <t xml:space="preserve">- CANDIDAT → backtest pré-enregistré (crypto-backtest-forge) d'une grille directionnelle</t>
  </si>
  <si>
    <t xml:space="preserve">  déclenchée par la figure (bornes = pivots / objectif, stop sous les pivots), puis contrôle xperp</t>
  </si>
  <si>
    <t xml:space="preserve">- PISTE → au plus une v2 pré-déclarée (filtre de tendance préalable ou K différent), sinon clôture</t>
  </si>
  <si>
    <t xml:space="preserve">- REJETÉ → clôture documentée de la famille « figures doubles creux / sommets daily » ; une</t>
  </si>
  <si>
    <t xml:space="preserve">  grille directionnelle ne peut pas s'appuyer sur ces figures comme sur un signal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</si>
</sst>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n">
        <f aca="false">COUNTIF(Tests!$AN$2:$AN$7,"CANDIDAT")</f>
        <v>0</v>
      </c>
    </row>
    <row r="7" customFormat="false" ht="15" hidden="false" customHeight="false" outlineLevel="0" collapsed="false">
      <c r="A7" s="4" t="s">
        <v>5</v>
      </c>
      <c r="B7" s="4" t="n">
        <f aca="false">COUNTIF(Tests!$AN$2:$AN$7,"PISTE")</f>
        <v>0</v>
      </c>
    </row>
    <row r="8" customFormat="false" ht="15" hidden="false" customHeight="false" outlineLevel="0" collapsed="false">
      <c r="A8" s="4" t="s">
        <v>6</v>
      </c>
      <c r="B8" s="4" t="n">
        <f aca="false">COUNTIF(Tests!$AN$2:$AN$7,"REJETÉ")</f>
        <v>6</v>
      </c>
    </row>
    <row r="9" customFormat="false" ht="15" hidden="false" customHeight="false" outlineLevel="0" collapsed="false">
      <c r="A9" s="3" t="s">
        <v>7</v>
      </c>
      <c r="B9" s="3" t="n">
        <f aca="false">SUM(B6:B8)</f>
        <v>6</v>
      </c>
    </row>
    <row r="11" customFormat="false" ht="15" hidden="false" customHeight="false" outlineLevel="0" collapsed="false">
      <c r="A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17"/>
    <col collapsed="false" customWidth="true" hidden="false" outlineLevel="0" max="23" min="22" style="0" width="13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28" min="28" style="0" width="11"/>
    <col collapsed="false" customWidth="true" hidden="false" outlineLevel="0" max="30" min="29" style="0" width="10"/>
    <col collapsed="false" customWidth="true" hidden="false" outlineLevel="0" max="31" min="31" style="0" width="14"/>
    <col collapsed="false" customWidth="true" hidden="false" outlineLevel="0" max="32" min="32" style="0" width="11"/>
    <col collapsed="false" customWidth="true" hidden="false" outlineLevel="0" max="33" min="33" style="0" width="15"/>
    <col collapsed="false" customWidth="true" hidden="false" outlineLevel="0" max="35" min="34" style="0" width="10"/>
    <col collapsed="false" customWidth="true" hidden="false" outlineLevel="0" max="37" min="36" style="0" width="12"/>
    <col collapsed="false" customWidth="true" hidden="false" outlineLevel="0" max="41" min="38" style="0" width="10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5" t="s">
        <v>44</v>
      </c>
      <c r="AK1" s="5" t="s">
        <v>45</v>
      </c>
      <c r="AL1" s="5" t="s">
        <v>46</v>
      </c>
      <c r="AM1" s="5" t="s">
        <v>47</v>
      </c>
      <c r="AN1" s="5" t="s">
        <v>48</v>
      </c>
      <c r="AO1" s="5" t="s">
        <v>49</v>
      </c>
    </row>
    <row r="2" customFormat="false" ht="15" hidden="false" customHeight="false" outlineLevel="0" collapsed="false">
      <c r="A2" s="6" t="s">
        <v>50</v>
      </c>
      <c r="B2" s="6" t="s">
        <v>51</v>
      </c>
      <c r="C2" s="6" t="n">
        <v>5</v>
      </c>
      <c r="D2" s="6" t="n">
        <v>1</v>
      </c>
      <c r="E2" s="7" t="n">
        <v>0.037733208809607</v>
      </c>
      <c r="F2" s="8" t="n">
        <v>1.65835676258883</v>
      </c>
      <c r="G2" s="6" t="n">
        <v>41</v>
      </c>
      <c r="H2" s="6" t="n">
        <v>60</v>
      </c>
      <c r="I2" s="7" t="n">
        <v>0.55</v>
      </c>
      <c r="J2" s="7" t="n">
        <v>0.006677958661598</v>
      </c>
      <c r="K2" s="8" t="n">
        <v>0.0497512437810945</v>
      </c>
      <c r="L2" s="6" t="n">
        <v>60</v>
      </c>
      <c r="M2" s="7" t="n">
        <v>0.037733208809607</v>
      </c>
      <c r="N2" s="6" t="n">
        <v>0</v>
      </c>
      <c r="O2" s="6"/>
      <c r="P2" s="7" t="n">
        <v>0.0043524065973247</v>
      </c>
      <c r="Q2" s="8" t="n">
        <v>0.235821274467296</v>
      </c>
      <c r="R2" s="6" t="n">
        <v>44</v>
      </c>
      <c r="S2" s="6" t="n">
        <v>56</v>
      </c>
      <c r="T2" s="7" t="n">
        <v>0.517857142857143</v>
      </c>
      <c r="U2" s="7" t="n">
        <v>-0.0001108085400276</v>
      </c>
      <c r="V2" s="8" t="n">
        <v>0.358208955223881</v>
      </c>
      <c r="W2" s="6" t="n">
        <v>56</v>
      </c>
      <c r="X2" s="7" t="n">
        <v>0.0043524065973247</v>
      </c>
      <c r="Y2" s="6" t="n">
        <v>0</v>
      </c>
      <c r="Z2" s="6"/>
      <c r="AA2" s="6" t="n">
        <v>2</v>
      </c>
      <c r="AB2" s="6" t="n">
        <v>2</v>
      </c>
      <c r="AC2" s="8" t="n">
        <v>0.813571359036907</v>
      </c>
      <c r="AD2" s="8" t="n">
        <v>0.813571359036907</v>
      </c>
      <c r="AE2" s="6" t="s">
        <v>52</v>
      </c>
      <c r="AF2" s="6" t="s">
        <v>52</v>
      </c>
      <c r="AG2" s="6" t="s">
        <v>53</v>
      </c>
      <c r="AH2" s="6" t="s">
        <v>53</v>
      </c>
      <c r="AI2" s="6" t="s">
        <v>53</v>
      </c>
      <c r="AJ2" s="6" t="s">
        <v>52</v>
      </c>
      <c r="AK2" s="6" t="s">
        <v>52</v>
      </c>
      <c r="AL2" s="6" t="s">
        <v>52</v>
      </c>
      <c r="AM2" s="7" t="n">
        <v>0.0028524065973247</v>
      </c>
      <c r="AN2" s="6" t="s">
        <v>6</v>
      </c>
      <c r="AO2" s="6"/>
    </row>
    <row r="3" customFormat="false" ht="15" hidden="false" customHeight="false" outlineLevel="0" collapsed="false">
      <c r="A3" s="6" t="s">
        <v>50</v>
      </c>
      <c r="B3" s="6" t="s">
        <v>51</v>
      </c>
      <c r="C3" s="6" t="n">
        <v>10</v>
      </c>
      <c r="D3" s="6" t="n">
        <v>1</v>
      </c>
      <c r="E3" s="7" t="n">
        <v>0.0985891306094711</v>
      </c>
      <c r="F3" s="8" t="n">
        <v>1.96151482193748</v>
      </c>
      <c r="G3" s="6" t="n">
        <v>41</v>
      </c>
      <c r="H3" s="6" t="n">
        <v>60</v>
      </c>
      <c r="I3" s="7" t="n">
        <v>0.7</v>
      </c>
      <c r="J3" s="7" t="n">
        <v>0.0178641819297968</v>
      </c>
      <c r="K3" s="8" t="n">
        <v>0.0199004975124378</v>
      </c>
      <c r="L3" s="6" t="n">
        <v>60</v>
      </c>
      <c r="M3" s="7" t="n">
        <v>0.0985891306094711</v>
      </c>
      <c r="N3" s="6" t="n">
        <v>0</v>
      </c>
      <c r="O3" s="6"/>
      <c r="P3" s="7" t="n">
        <v>0.0004368048459514</v>
      </c>
      <c r="Q3" s="8" t="n">
        <v>0.381830280473085</v>
      </c>
      <c r="R3" s="6" t="n">
        <v>44</v>
      </c>
      <c r="S3" s="6" t="n">
        <v>56</v>
      </c>
      <c r="T3" s="7" t="n">
        <v>0.392857142857143</v>
      </c>
      <c r="U3" s="7" t="n">
        <v>0.0035115458856799</v>
      </c>
      <c r="V3" s="8" t="n">
        <v>0.572139303482587</v>
      </c>
      <c r="W3" s="6" t="n">
        <v>56</v>
      </c>
      <c r="X3" s="7" t="n">
        <v>0.0004368048459514</v>
      </c>
      <c r="Y3" s="6" t="n">
        <v>0</v>
      </c>
      <c r="Z3" s="6"/>
      <c r="AA3" s="6" t="n">
        <v>1</v>
      </c>
      <c r="AB3" s="6" t="n">
        <v>2</v>
      </c>
      <c r="AC3" s="8" t="n">
        <v>0.70258725687305</v>
      </c>
      <c r="AD3" s="8" t="n">
        <v>0.813571359036907</v>
      </c>
      <c r="AE3" s="6" t="s">
        <v>52</v>
      </c>
      <c r="AF3" s="6" t="s">
        <v>52</v>
      </c>
      <c r="AG3" s="6" t="s">
        <v>53</v>
      </c>
      <c r="AH3" s="6" t="s">
        <v>53</v>
      </c>
      <c r="AI3" s="6" t="s">
        <v>53</v>
      </c>
      <c r="AJ3" s="6" t="s">
        <v>52</v>
      </c>
      <c r="AK3" s="6" t="s">
        <v>53</v>
      </c>
      <c r="AL3" s="6" t="s">
        <v>53</v>
      </c>
      <c r="AM3" s="7" t="n">
        <v>-0.0010631951540485</v>
      </c>
      <c r="AN3" s="6" t="s">
        <v>6</v>
      </c>
      <c r="AO3" s="6"/>
    </row>
    <row r="4" customFormat="false" ht="15" hidden="false" customHeight="false" outlineLevel="0" collapsed="false">
      <c r="A4" s="6" t="s">
        <v>50</v>
      </c>
      <c r="B4" s="6" t="s">
        <v>51</v>
      </c>
      <c r="C4" s="6" t="n">
        <v>20</v>
      </c>
      <c r="D4" s="6" t="n">
        <v>1</v>
      </c>
      <c r="E4" s="7" t="n">
        <v>0.207302652848204</v>
      </c>
      <c r="F4" s="8" t="n">
        <v>2.25233849064327</v>
      </c>
      <c r="G4" s="6" t="n">
        <v>41</v>
      </c>
      <c r="H4" s="6" t="n">
        <v>60</v>
      </c>
      <c r="I4" s="7" t="n">
        <v>0.716666666666667</v>
      </c>
      <c r="J4" s="7" t="n">
        <v>0.0347406203716368</v>
      </c>
      <c r="K4" s="8" t="n">
        <v>0.0049751243781094</v>
      </c>
      <c r="L4" s="6" t="n">
        <v>60</v>
      </c>
      <c r="M4" s="7" t="n">
        <v>0.207302652848204</v>
      </c>
      <c r="N4" s="6" t="n">
        <v>0</v>
      </c>
      <c r="O4" s="6"/>
      <c r="P4" s="7" t="n">
        <v>0.0201886626549437</v>
      </c>
      <c r="Q4" s="8" t="n">
        <v>1.75614235164997</v>
      </c>
      <c r="R4" s="6" t="n">
        <v>42</v>
      </c>
      <c r="S4" s="6" t="n">
        <v>54</v>
      </c>
      <c r="T4" s="7" t="n">
        <v>0.462962962962963</v>
      </c>
      <c r="U4" s="7" t="n">
        <v>0.0046059581361408</v>
      </c>
      <c r="V4" s="8" t="n">
        <v>0.293532338308458</v>
      </c>
      <c r="W4" s="6" t="n">
        <v>54</v>
      </c>
      <c r="X4" s="7" t="n">
        <v>0.0201886626549437</v>
      </c>
      <c r="Y4" s="6" t="n">
        <v>0</v>
      </c>
      <c r="Z4" s="6"/>
      <c r="AA4" s="6" t="n">
        <v>2</v>
      </c>
      <c r="AB4" s="6" t="n">
        <v>2</v>
      </c>
      <c r="AC4" s="8" t="n">
        <v>0.0790641051663685</v>
      </c>
      <c r="AD4" s="8" t="n">
        <v>0.237192315499106</v>
      </c>
      <c r="AE4" s="6" t="s">
        <v>52</v>
      </c>
      <c r="AF4" s="6" t="s">
        <v>52</v>
      </c>
      <c r="AG4" s="6" t="s">
        <v>53</v>
      </c>
      <c r="AH4" s="6" t="s">
        <v>53</v>
      </c>
      <c r="AI4" s="6" t="s">
        <v>53</v>
      </c>
      <c r="AJ4" s="6" t="s">
        <v>52</v>
      </c>
      <c r="AK4" s="6" t="s">
        <v>52</v>
      </c>
      <c r="AL4" s="6" t="s">
        <v>52</v>
      </c>
      <c r="AM4" s="7" t="n">
        <v>0.0186886626549437</v>
      </c>
      <c r="AN4" s="6" t="s">
        <v>6</v>
      </c>
      <c r="AO4" s="6"/>
    </row>
    <row r="5" customFormat="false" ht="15" hidden="false" customHeight="false" outlineLevel="0" collapsed="false">
      <c r="A5" s="6" t="s">
        <v>54</v>
      </c>
      <c r="B5" s="6" t="s">
        <v>51</v>
      </c>
      <c r="C5" s="6" t="n">
        <v>5</v>
      </c>
      <c r="D5" s="6" t="n">
        <v>1</v>
      </c>
      <c r="E5" s="7" t="n">
        <v>0.0030080422913728</v>
      </c>
      <c r="F5" s="8" t="n">
        <v>-1.48527608798375</v>
      </c>
      <c r="G5" s="6" t="n">
        <v>42</v>
      </c>
      <c r="H5" s="6" t="n">
        <v>65</v>
      </c>
      <c r="I5" s="7" t="n">
        <v>0.461538461538462</v>
      </c>
      <c r="J5" s="7" t="n">
        <v>-0.0087316059319991</v>
      </c>
      <c r="K5" s="8" t="n">
        <v>0.263681592039801</v>
      </c>
      <c r="L5" s="6" t="n">
        <v>0</v>
      </c>
      <c r="M5" s="6"/>
      <c r="N5" s="6" t="n">
        <v>65</v>
      </c>
      <c r="O5" s="7" t="n">
        <v>0.0030080422913728</v>
      </c>
      <c r="P5" s="7" t="n">
        <v>-0.0046731915536657</v>
      </c>
      <c r="Q5" s="8" t="n">
        <v>-0.296027847024812</v>
      </c>
      <c r="R5" s="6" t="n">
        <v>47</v>
      </c>
      <c r="S5" s="6" t="n">
        <v>73</v>
      </c>
      <c r="T5" s="7" t="n">
        <v>0.561643835616438</v>
      </c>
      <c r="U5" s="7" t="n">
        <v>-0.0009688917589404</v>
      </c>
      <c r="V5" s="8" t="n">
        <v>0.611940298507463</v>
      </c>
      <c r="W5" s="6" t="n">
        <v>0</v>
      </c>
      <c r="X5" s="6"/>
      <c r="Y5" s="6" t="n">
        <v>73</v>
      </c>
      <c r="Z5" s="7" t="n">
        <v>-0.0046731915536657</v>
      </c>
      <c r="AA5" s="6" t="n">
        <v>3</v>
      </c>
      <c r="AB5" s="6" t="n">
        <v>4</v>
      </c>
      <c r="AC5" s="8" t="n">
        <v>0.76720881511752</v>
      </c>
      <c r="AD5" s="8" t="n">
        <v>0.813571359036907</v>
      </c>
      <c r="AE5" s="6" t="s">
        <v>52</v>
      </c>
      <c r="AF5" s="6" t="s">
        <v>53</v>
      </c>
      <c r="AG5" s="6" t="s">
        <v>53</v>
      </c>
      <c r="AH5" s="6" t="s">
        <v>53</v>
      </c>
      <c r="AI5" s="6" t="s">
        <v>53</v>
      </c>
      <c r="AJ5" s="6" t="s">
        <v>53</v>
      </c>
      <c r="AK5" s="6" t="s">
        <v>52</v>
      </c>
      <c r="AL5" s="6" t="s">
        <v>53</v>
      </c>
      <c r="AM5" s="7" t="n">
        <v>-0.0061731915536657</v>
      </c>
      <c r="AN5" s="6" t="s">
        <v>6</v>
      </c>
      <c r="AO5" s="6"/>
    </row>
    <row r="6" customFormat="false" ht="15" hidden="false" customHeight="false" outlineLevel="0" collapsed="false">
      <c r="A6" s="6" t="s">
        <v>54</v>
      </c>
      <c r="B6" s="6" t="s">
        <v>51</v>
      </c>
      <c r="C6" s="6" t="n">
        <v>10</v>
      </c>
      <c r="D6" s="6" t="n">
        <v>1</v>
      </c>
      <c r="E6" s="7" t="n">
        <v>-0.0177696615852297</v>
      </c>
      <c r="F6" s="8" t="n">
        <v>-1.98418881937369</v>
      </c>
      <c r="G6" s="6" t="n">
        <v>42</v>
      </c>
      <c r="H6" s="6" t="n">
        <v>65</v>
      </c>
      <c r="I6" s="7" t="n">
        <v>0.446153846153846</v>
      </c>
      <c r="J6" s="7" t="n">
        <v>-0.0249035800985867</v>
      </c>
      <c r="K6" s="8" t="n">
        <v>0.467661691542289</v>
      </c>
      <c r="L6" s="6" t="n">
        <v>0</v>
      </c>
      <c r="M6" s="6"/>
      <c r="N6" s="6" t="n">
        <v>65</v>
      </c>
      <c r="O6" s="7" t="n">
        <v>-0.0177696615852297</v>
      </c>
      <c r="P6" s="7" t="n">
        <v>-0.0272856975689139</v>
      </c>
      <c r="Q6" s="8" t="n">
        <v>-2.37856848371807</v>
      </c>
      <c r="R6" s="6" t="n">
        <v>46</v>
      </c>
      <c r="S6" s="6" t="n">
        <v>72</v>
      </c>
      <c r="T6" s="7" t="n">
        <v>0.388888888888889</v>
      </c>
      <c r="U6" s="7" t="n">
        <v>-0.0028846802236375</v>
      </c>
      <c r="V6" s="8" t="n">
        <v>0.890547263681592</v>
      </c>
      <c r="W6" s="6" t="n">
        <v>0</v>
      </c>
      <c r="X6" s="6"/>
      <c r="Y6" s="6" t="n">
        <v>72</v>
      </c>
      <c r="Z6" s="7" t="n">
        <v>-0.0272856975689139</v>
      </c>
      <c r="AA6" s="6" t="n">
        <v>0</v>
      </c>
      <c r="AB6" s="6" t="n">
        <v>4</v>
      </c>
      <c r="AC6" s="8" t="n">
        <v>0.0173800081842298</v>
      </c>
      <c r="AD6" s="8" t="n">
        <v>0.104280049105379</v>
      </c>
      <c r="AE6" s="6" t="s">
        <v>52</v>
      </c>
      <c r="AF6" s="6" t="s">
        <v>53</v>
      </c>
      <c r="AG6" s="6" t="s">
        <v>53</v>
      </c>
      <c r="AH6" s="6" t="s">
        <v>53</v>
      </c>
      <c r="AI6" s="6" t="s">
        <v>53</v>
      </c>
      <c r="AJ6" s="6" t="s">
        <v>53</v>
      </c>
      <c r="AK6" s="6" t="s">
        <v>53</v>
      </c>
      <c r="AL6" s="6" t="s">
        <v>53</v>
      </c>
      <c r="AM6" s="7" t="n">
        <v>-0.0287856975689139</v>
      </c>
      <c r="AN6" s="6" t="s">
        <v>6</v>
      </c>
      <c r="AO6" s="6"/>
    </row>
    <row r="7" customFormat="false" ht="15" hidden="false" customHeight="false" outlineLevel="0" collapsed="false">
      <c r="A7" s="6" t="s">
        <v>54</v>
      </c>
      <c r="B7" s="6" t="s">
        <v>51</v>
      </c>
      <c r="C7" s="6" t="n">
        <v>20</v>
      </c>
      <c r="D7" s="6" t="n">
        <v>1</v>
      </c>
      <c r="E7" s="7" t="n">
        <v>-0.0385453532830493</v>
      </c>
      <c r="F7" s="8" t="n">
        <v>-2.07774169420404</v>
      </c>
      <c r="G7" s="6" t="n">
        <v>42</v>
      </c>
      <c r="H7" s="6" t="n">
        <v>65</v>
      </c>
      <c r="I7" s="7" t="n">
        <v>0.384615384615385</v>
      </c>
      <c r="J7" s="7" t="n">
        <v>-0.0498661671698897</v>
      </c>
      <c r="K7" s="8" t="n">
        <v>0.462686567164179</v>
      </c>
      <c r="L7" s="6" t="n">
        <v>0</v>
      </c>
      <c r="M7" s="6"/>
      <c r="N7" s="6" t="n">
        <v>65</v>
      </c>
      <c r="O7" s="7" t="n">
        <v>-0.0385453532830493</v>
      </c>
      <c r="P7" s="7" t="n">
        <v>-0.0315256269325425</v>
      </c>
      <c r="Q7" s="8" t="n">
        <v>-0.788532351509793</v>
      </c>
      <c r="R7" s="6" t="n">
        <v>45</v>
      </c>
      <c r="S7" s="6" t="n">
        <v>71</v>
      </c>
      <c r="T7" s="7" t="n">
        <v>0.507042253521127</v>
      </c>
      <c r="U7" s="7" t="n">
        <v>-0.0140262725470175</v>
      </c>
      <c r="V7" s="8" t="n">
        <v>0.766169154228856</v>
      </c>
      <c r="W7" s="6" t="n">
        <v>0</v>
      </c>
      <c r="X7" s="6"/>
      <c r="Y7" s="6" t="n">
        <v>71</v>
      </c>
      <c r="Z7" s="7" t="n">
        <v>-0.0315256269325425</v>
      </c>
      <c r="AA7" s="6" t="n">
        <v>2</v>
      </c>
      <c r="AB7" s="6" t="n">
        <v>4</v>
      </c>
      <c r="AC7" s="8" t="n">
        <v>0.430385382913045</v>
      </c>
      <c r="AD7" s="8" t="n">
        <v>0.813571359036907</v>
      </c>
      <c r="AE7" s="6" t="s">
        <v>52</v>
      </c>
      <c r="AF7" s="6" t="s">
        <v>53</v>
      </c>
      <c r="AG7" s="6" t="s">
        <v>53</v>
      </c>
      <c r="AH7" s="6" t="s">
        <v>53</v>
      </c>
      <c r="AI7" s="6" t="s">
        <v>53</v>
      </c>
      <c r="AJ7" s="6" t="s">
        <v>53</v>
      </c>
      <c r="AK7" s="6" t="s">
        <v>53</v>
      </c>
      <c r="AL7" s="6" t="s">
        <v>53</v>
      </c>
      <c r="AM7" s="7" t="n">
        <v>-0.0330256269325425</v>
      </c>
      <c r="AN7" s="6" t="s">
        <v>6</v>
      </c>
      <c r="AO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1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</row>
    <row r="2" customFormat="false" ht="15" hidden="false" customHeight="false" outlineLevel="0" collapsed="false">
      <c r="A2" s="2" t="s">
        <v>54</v>
      </c>
      <c r="B2" s="2" t="s">
        <v>51</v>
      </c>
      <c r="C2" s="2" t="n">
        <v>5</v>
      </c>
      <c r="D2" s="9" t="n">
        <v>-0.0681510218325963</v>
      </c>
      <c r="E2" s="9" t="n">
        <v>-0.0179415811689012</v>
      </c>
      <c r="F2" s="9" t="n">
        <v>0.027676717204311</v>
      </c>
      <c r="G2" s="9" t="n">
        <v>-0.0189466858843754</v>
      </c>
      <c r="H2" s="9" t="n">
        <v>0.0005302953239923</v>
      </c>
      <c r="I2" s="9" t="n">
        <v>0.0062066536151084</v>
      </c>
    </row>
    <row r="3" customFormat="false" ht="15" hidden="false" customHeight="false" outlineLevel="0" collapsed="false">
      <c r="A3" s="2" t="s">
        <v>54</v>
      </c>
      <c r="B3" s="2" t="s">
        <v>51</v>
      </c>
      <c r="C3" s="2" t="n">
        <v>10</v>
      </c>
      <c r="D3" s="9" t="n">
        <v>-0.0481554309239721</v>
      </c>
      <c r="E3" s="9" t="n">
        <v>-0.0336803073667393</v>
      </c>
      <c r="F3" s="9" t="n">
        <v>-0.0065775731213092</v>
      </c>
      <c r="G3" s="9" t="n">
        <v>-0.0347821743637979</v>
      </c>
      <c r="H3" s="9" t="n">
        <v>-0.0141859438336783</v>
      </c>
      <c r="I3" s="9" t="n">
        <v>-0.0306706037707826</v>
      </c>
    </row>
    <row r="4" customFormat="false" ht="15" hidden="false" customHeight="false" outlineLevel="0" collapsed="false">
      <c r="A4" s="2" t="s">
        <v>54</v>
      </c>
      <c r="B4" s="2" t="s">
        <v>51</v>
      </c>
      <c r="C4" s="2" t="n">
        <v>20</v>
      </c>
      <c r="D4" s="9" t="n">
        <v>-0.0281556358986788</v>
      </c>
      <c r="E4" s="9" t="n">
        <v>-0.035337653227545</v>
      </c>
      <c r="F4" s="9" t="n">
        <v>-0.0735443199167617</v>
      </c>
      <c r="G4" s="9" t="n">
        <v>-0.0982448832889243</v>
      </c>
      <c r="H4" s="9" t="n">
        <v>0.0137767163230074</v>
      </c>
      <c r="I4" s="9" t="n">
        <v>0.0162007937982399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n">
        <v>5</v>
      </c>
      <c r="D5" s="9" t="n">
        <v>0.116041716621649</v>
      </c>
      <c r="E5" s="9" t="n">
        <v>0.0178087190515686</v>
      </c>
      <c r="F5" s="9" t="n">
        <v>0.0229807009343635</v>
      </c>
      <c r="G5" s="9" t="n">
        <v>0.0154742013887654</v>
      </c>
      <c r="H5" s="9" t="n">
        <v>-0.0296728593044848</v>
      </c>
      <c r="I5" s="9" t="n">
        <v>0.0051418942727784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n">
        <v>10</v>
      </c>
      <c r="D6" s="9" t="n">
        <v>0.239477689046239</v>
      </c>
      <c r="E6" s="9" t="n">
        <v>0.0625984147679138</v>
      </c>
      <c r="F6" s="9" t="n">
        <v>0.0700669274639032</v>
      </c>
      <c r="G6" s="9" t="n">
        <v>0.0443386927354306</v>
      </c>
      <c r="H6" s="9" t="n">
        <v>-0.028417091709748</v>
      </c>
      <c r="I6" s="9" t="n">
        <v>-0.0099170296145899</v>
      </c>
    </row>
    <row r="7" customFormat="false" ht="15" hidden="false" customHeight="false" outlineLevel="0" collapsed="false">
      <c r="A7" s="2" t="s">
        <v>50</v>
      </c>
      <c r="B7" s="2" t="s">
        <v>51</v>
      </c>
      <c r="C7" s="2" t="n">
        <v>20</v>
      </c>
      <c r="D7" s="9" t="n">
        <v>0.493779076536707</v>
      </c>
      <c r="E7" s="9" t="n">
        <v>0.0989636898073999</v>
      </c>
      <c r="F7" s="9" t="n">
        <v>0.142853209213984</v>
      </c>
      <c r="G7" s="9" t="n">
        <v>0.100661964613125</v>
      </c>
      <c r="H7" s="9" t="n">
        <v>-0.0322745969243549</v>
      </c>
      <c r="I7" s="9" t="n">
        <v>0.0143671642231441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0"/>
  </cols>
  <sheetData>
    <row r="1" customFormat="false" ht="15" hidden="false" customHeight="false" outlineLevel="0" collapsed="false">
      <c r="A1" s="5" t="s">
        <v>9</v>
      </c>
      <c r="B1" s="5" t="s">
        <v>11</v>
      </c>
      <c r="C1" s="5" t="s">
        <v>61</v>
      </c>
      <c r="D1" s="5" t="s">
        <v>62</v>
      </c>
      <c r="E1" s="5" t="s">
        <v>63</v>
      </c>
      <c r="F1" s="5" t="s">
        <v>64</v>
      </c>
    </row>
    <row r="2" customFormat="false" ht="15" hidden="false" customHeight="false" outlineLevel="0" collapsed="false">
      <c r="A2" s="2" t="s">
        <v>54</v>
      </c>
      <c r="B2" s="2" t="n">
        <v>5</v>
      </c>
      <c r="C2" s="2" t="s">
        <v>65</v>
      </c>
      <c r="D2" s="2" t="n">
        <v>3</v>
      </c>
      <c r="E2" s="10" t="n">
        <v>-0.0251713167389878</v>
      </c>
      <c r="F2" s="10" t="n">
        <v>0.666666666666667</v>
      </c>
    </row>
    <row r="3" customFormat="false" ht="15" hidden="false" customHeight="false" outlineLevel="0" collapsed="false">
      <c r="A3" s="2" t="s">
        <v>54</v>
      </c>
      <c r="B3" s="2" t="n">
        <v>5</v>
      </c>
      <c r="C3" s="2" t="s">
        <v>66</v>
      </c>
      <c r="D3" s="2" t="n">
        <v>3</v>
      </c>
      <c r="E3" s="10" t="n">
        <v>0.0326552382034545</v>
      </c>
      <c r="F3" s="10" t="n">
        <v>0.666666666666667</v>
      </c>
    </row>
    <row r="4" customFormat="false" ht="15" hidden="false" customHeight="false" outlineLevel="0" collapsed="false">
      <c r="A4" s="2" t="s">
        <v>54</v>
      </c>
      <c r="B4" s="2" t="n">
        <v>5</v>
      </c>
      <c r="C4" s="2" t="s">
        <v>67</v>
      </c>
      <c r="D4" s="2" t="n">
        <v>1</v>
      </c>
      <c r="E4" s="10" t="n">
        <v>0.0260445943413901</v>
      </c>
      <c r="F4" s="10" t="n">
        <v>1</v>
      </c>
    </row>
    <row r="5" customFormat="false" ht="15" hidden="false" customHeight="false" outlineLevel="0" collapsed="false">
      <c r="A5" s="2" t="s">
        <v>54</v>
      </c>
      <c r="B5" s="2" t="n">
        <v>5</v>
      </c>
      <c r="C5" s="2" t="s">
        <v>68</v>
      </c>
      <c r="D5" s="2" t="n">
        <v>1</v>
      </c>
      <c r="E5" s="10" t="n">
        <v>-0.0491438736935734</v>
      </c>
      <c r="F5" s="10" t="n">
        <v>0</v>
      </c>
    </row>
    <row r="6" customFormat="false" ht="15" hidden="false" customHeight="false" outlineLevel="0" collapsed="false">
      <c r="A6" s="2" t="s">
        <v>54</v>
      </c>
      <c r="B6" s="2" t="n">
        <v>5</v>
      </c>
      <c r="C6" s="2" t="s">
        <v>69</v>
      </c>
      <c r="D6" s="2" t="n">
        <v>5</v>
      </c>
      <c r="E6" s="10" t="n">
        <v>0.00357243764987464</v>
      </c>
      <c r="F6" s="10" t="n">
        <v>0.6</v>
      </c>
    </row>
    <row r="7" customFormat="false" ht="15" hidden="false" customHeight="false" outlineLevel="0" collapsed="false">
      <c r="A7" s="2" t="s">
        <v>54</v>
      </c>
      <c r="B7" s="2" t="n">
        <v>5</v>
      </c>
      <c r="C7" s="2" t="s">
        <v>70</v>
      </c>
      <c r="D7" s="2" t="n">
        <v>1</v>
      </c>
      <c r="E7" s="10" t="n">
        <v>0.0111039066299236</v>
      </c>
      <c r="F7" s="10" t="n">
        <v>1</v>
      </c>
    </row>
    <row r="8" customFormat="false" ht="15" hidden="false" customHeight="false" outlineLevel="0" collapsed="false">
      <c r="A8" s="2" t="s">
        <v>54</v>
      </c>
      <c r="B8" s="2" t="n">
        <v>5</v>
      </c>
      <c r="C8" s="2" t="s">
        <v>71</v>
      </c>
      <c r="D8" s="2" t="n">
        <v>1</v>
      </c>
      <c r="E8" s="10" t="n">
        <v>0.116259711431742</v>
      </c>
      <c r="F8" s="10" t="n">
        <v>1</v>
      </c>
    </row>
    <row r="9" customFormat="false" ht="15" hidden="false" customHeight="false" outlineLevel="0" collapsed="false">
      <c r="A9" s="2" t="s">
        <v>54</v>
      </c>
      <c r="B9" s="2" t="n">
        <v>5</v>
      </c>
      <c r="C9" s="2" t="s">
        <v>72</v>
      </c>
      <c r="D9" s="2" t="n">
        <v>2</v>
      </c>
      <c r="E9" s="10" t="n">
        <v>0.0303510231526237</v>
      </c>
      <c r="F9" s="10" t="n">
        <v>0.5</v>
      </c>
    </row>
    <row r="10" customFormat="false" ht="15" hidden="false" customHeight="false" outlineLevel="0" collapsed="false">
      <c r="A10" s="2" t="s">
        <v>54</v>
      </c>
      <c r="B10" s="2" t="n">
        <v>5</v>
      </c>
      <c r="C10" s="2" t="s">
        <v>73</v>
      </c>
      <c r="D10" s="2" t="n">
        <v>1</v>
      </c>
      <c r="E10" s="10" t="n">
        <v>0.0119546850300705</v>
      </c>
      <c r="F10" s="10" t="n">
        <v>1</v>
      </c>
    </row>
    <row r="11" customFormat="false" ht="15" hidden="false" customHeight="false" outlineLevel="0" collapsed="false">
      <c r="A11" s="2" t="s">
        <v>54</v>
      </c>
      <c r="B11" s="2" t="n">
        <v>5</v>
      </c>
      <c r="C11" s="2" t="s">
        <v>74</v>
      </c>
      <c r="D11" s="2" t="n">
        <v>1</v>
      </c>
      <c r="E11" s="10" t="n">
        <v>0.0411275415896489</v>
      </c>
      <c r="F11" s="10" t="n">
        <v>1</v>
      </c>
    </row>
    <row r="12" customFormat="false" ht="15" hidden="false" customHeight="false" outlineLevel="0" collapsed="false">
      <c r="A12" s="2" t="s">
        <v>54</v>
      </c>
      <c r="B12" s="2" t="n">
        <v>5</v>
      </c>
      <c r="C12" s="2" t="s">
        <v>75</v>
      </c>
      <c r="D12" s="2" t="n">
        <v>2</v>
      </c>
      <c r="E12" s="10" t="n">
        <v>0.0605243158279624</v>
      </c>
      <c r="F12" s="10" t="n">
        <v>1</v>
      </c>
    </row>
    <row r="13" customFormat="false" ht="15" hidden="false" customHeight="false" outlineLevel="0" collapsed="false">
      <c r="A13" s="2" t="s">
        <v>54</v>
      </c>
      <c r="B13" s="2" t="n">
        <v>5</v>
      </c>
      <c r="C13" s="2" t="s">
        <v>76</v>
      </c>
      <c r="D13" s="2" t="n">
        <v>2</v>
      </c>
      <c r="E13" s="10" t="n">
        <v>-0.0309503108590196</v>
      </c>
      <c r="F13" s="10" t="n">
        <v>0</v>
      </c>
    </row>
    <row r="14" customFormat="false" ht="15" hidden="false" customHeight="false" outlineLevel="0" collapsed="false">
      <c r="A14" s="2" t="s">
        <v>54</v>
      </c>
      <c r="B14" s="2" t="n">
        <v>5</v>
      </c>
      <c r="C14" s="2" t="s">
        <v>77</v>
      </c>
      <c r="D14" s="2" t="n">
        <v>1</v>
      </c>
      <c r="E14" s="10" t="n">
        <v>-0.0721518987341771</v>
      </c>
      <c r="F14" s="10" t="n">
        <v>0</v>
      </c>
    </row>
    <row r="15" customFormat="false" ht="15" hidden="false" customHeight="false" outlineLevel="0" collapsed="false">
      <c r="A15" s="2" t="s">
        <v>54</v>
      </c>
      <c r="B15" s="2" t="n">
        <v>5</v>
      </c>
      <c r="C15" s="2" t="s">
        <v>78</v>
      </c>
      <c r="D15" s="2" t="n">
        <v>2</v>
      </c>
      <c r="E15" s="10" t="n">
        <v>0.0945247476148125</v>
      </c>
      <c r="F15" s="10" t="n">
        <v>1</v>
      </c>
    </row>
    <row r="16" customFormat="false" ht="15" hidden="false" customHeight="false" outlineLevel="0" collapsed="false">
      <c r="A16" s="2" t="s">
        <v>54</v>
      </c>
      <c r="B16" s="2" t="n">
        <v>5</v>
      </c>
      <c r="C16" s="2" t="s">
        <v>79</v>
      </c>
      <c r="D16" s="2" t="n">
        <v>4</v>
      </c>
      <c r="E16" s="10" t="n">
        <v>-0.0217196905581451</v>
      </c>
      <c r="F16" s="10" t="n">
        <v>0.25</v>
      </c>
    </row>
    <row r="17" customFormat="false" ht="15" hidden="false" customHeight="false" outlineLevel="0" collapsed="false">
      <c r="A17" s="2" t="s">
        <v>54</v>
      </c>
      <c r="B17" s="2" t="n">
        <v>5</v>
      </c>
      <c r="C17" s="2" t="s">
        <v>80</v>
      </c>
      <c r="D17" s="2" t="n">
        <v>3</v>
      </c>
      <c r="E17" s="10" t="n">
        <v>0.0347882540956863</v>
      </c>
      <c r="F17" s="10" t="n">
        <v>1</v>
      </c>
    </row>
    <row r="18" customFormat="false" ht="15" hidden="false" customHeight="false" outlineLevel="0" collapsed="false">
      <c r="A18" s="2" t="s">
        <v>54</v>
      </c>
      <c r="B18" s="2" t="n">
        <v>5</v>
      </c>
      <c r="C18" s="2" t="s">
        <v>81</v>
      </c>
      <c r="D18" s="2" t="n">
        <v>1</v>
      </c>
      <c r="E18" s="10" t="n">
        <v>0.001788908765653</v>
      </c>
      <c r="F18" s="10" t="n">
        <v>1</v>
      </c>
    </row>
    <row r="19" customFormat="false" ht="15" hidden="false" customHeight="false" outlineLevel="0" collapsed="false">
      <c r="A19" s="2" t="s">
        <v>54</v>
      </c>
      <c r="B19" s="2" t="n">
        <v>5</v>
      </c>
      <c r="C19" s="2" t="s">
        <v>82</v>
      </c>
      <c r="D19" s="2" t="n">
        <v>3</v>
      </c>
      <c r="E19" s="10" t="n">
        <v>-0.0704052285821108</v>
      </c>
      <c r="F19" s="10" t="n">
        <v>0.333333333333333</v>
      </c>
    </row>
    <row r="20" customFormat="false" ht="15" hidden="false" customHeight="false" outlineLevel="0" collapsed="false">
      <c r="A20" s="2" t="s">
        <v>54</v>
      </c>
      <c r="B20" s="2" t="n">
        <v>5</v>
      </c>
      <c r="C20" s="2" t="s">
        <v>83</v>
      </c>
      <c r="D20" s="2" t="n">
        <v>3</v>
      </c>
      <c r="E20" s="10" t="n">
        <v>0.0525156871767209</v>
      </c>
      <c r="F20" s="10" t="n">
        <v>0.666666666666667</v>
      </c>
    </row>
    <row r="21" customFormat="false" ht="15" hidden="false" customHeight="false" outlineLevel="0" collapsed="false">
      <c r="A21" s="2" t="s">
        <v>54</v>
      </c>
      <c r="B21" s="2" t="n">
        <v>5</v>
      </c>
      <c r="C21" s="2" t="s">
        <v>84</v>
      </c>
      <c r="D21" s="2" t="n">
        <v>1</v>
      </c>
      <c r="E21" s="10" t="n">
        <v>0.0325158445852853</v>
      </c>
      <c r="F21" s="10" t="n">
        <v>1</v>
      </c>
    </row>
    <row r="22" customFormat="false" ht="15" hidden="false" customHeight="false" outlineLevel="0" collapsed="false">
      <c r="A22" s="2" t="s">
        <v>54</v>
      </c>
      <c r="B22" s="2" t="n">
        <v>5</v>
      </c>
      <c r="C22" s="2" t="s">
        <v>85</v>
      </c>
      <c r="D22" s="2" t="n">
        <v>2</v>
      </c>
      <c r="E22" s="10" t="n">
        <v>-0.0830796317134574</v>
      </c>
      <c r="F22" s="10" t="n">
        <v>0</v>
      </c>
    </row>
    <row r="23" customFormat="false" ht="15" hidden="false" customHeight="false" outlineLevel="0" collapsed="false">
      <c r="A23" s="2" t="s">
        <v>54</v>
      </c>
      <c r="B23" s="2" t="n">
        <v>5</v>
      </c>
      <c r="C23" s="2" t="s">
        <v>86</v>
      </c>
      <c r="D23" s="2" t="n">
        <v>1</v>
      </c>
      <c r="E23" s="10" t="n">
        <v>0.101939058171745</v>
      </c>
      <c r="F23" s="10" t="n">
        <v>1</v>
      </c>
    </row>
    <row r="24" customFormat="false" ht="15" hidden="false" customHeight="false" outlineLevel="0" collapsed="false">
      <c r="A24" s="2" t="s">
        <v>54</v>
      </c>
      <c r="B24" s="2" t="n">
        <v>5</v>
      </c>
      <c r="C24" s="2" t="s">
        <v>87</v>
      </c>
      <c r="D24" s="2" t="n">
        <v>1</v>
      </c>
      <c r="E24" s="10" t="n">
        <v>-0.127698951264651</v>
      </c>
      <c r="F24" s="10" t="n">
        <v>0</v>
      </c>
    </row>
    <row r="25" customFormat="false" ht="15" hidden="false" customHeight="false" outlineLevel="0" collapsed="false">
      <c r="A25" s="2" t="s">
        <v>54</v>
      </c>
      <c r="B25" s="2" t="n">
        <v>5</v>
      </c>
      <c r="C25" s="2" t="s">
        <v>88</v>
      </c>
      <c r="D25" s="2" t="n">
        <v>3</v>
      </c>
      <c r="E25" s="10" t="n">
        <v>-0.050159598860304</v>
      </c>
      <c r="F25" s="10" t="n">
        <v>0.333333333333333</v>
      </c>
    </row>
    <row r="26" customFormat="false" ht="15" hidden="false" customHeight="false" outlineLevel="0" collapsed="false">
      <c r="A26" s="2" t="s">
        <v>54</v>
      </c>
      <c r="B26" s="2" t="n">
        <v>5</v>
      </c>
      <c r="C26" s="2" t="s">
        <v>89</v>
      </c>
      <c r="D26" s="2" t="n">
        <v>1</v>
      </c>
      <c r="E26" s="10" t="n">
        <v>-0.196707351688902</v>
      </c>
      <c r="F26" s="10" t="n">
        <v>0</v>
      </c>
    </row>
    <row r="27" customFormat="false" ht="15" hidden="false" customHeight="false" outlineLevel="0" collapsed="false">
      <c r="A27" s="2" t="s">
        <v>54</v>
      </c>
      <c r="B27" s="2" t="n">
        <v>5</v>
      </c>
      <c r="C27" s="2" t="s">
        <v>90</v>
      </c>
      <c r="D27" s="2" t="n">
        <v>4</v>
      </c>
      <c r="E27" s="10" t="n">
        <v>-0.0570180790241048</v>
      </c>
      <c r="F27" s="10" t="n">
        <v>0.25</v>
      </c>
    </row>
    <row r="28" customFormat="false" ht="15" hidden="false" customHeight="false" outlineLevel="0" collapsed="false">
      <c r="A28" s="2" t="s">
        <v>54</v>
      </c>
      <c r="B28" s="2" t="n">
        <v>5</v>
      </c>
      <c r="C28" s="2" t="s">
        <v>91</v>
      </c>
      <c r="D28" s="2" t="n">
        <v>2</v>
      </c>
      <c r="E28" s="10" t="n">
        <v>0.00623109570425505</v>
      </c>
      <c r="F28" s="10" t="n">
        <v>1</v>
      </c>
    </row>
    <row r="29" customFormat="false" ht="15" hidden="false" customHeight="false" outlineLevel="0" collapsed="false">
      <c r="A29" s="2" t="s">
        <v>54</v>
      </c>
      <c r="B29" s="2" t="n">
        <v>5</v>
      </c>
      <c r="C29" s="2" t="s">
        <v>92</v>
      </c>
      <c r="D29" s="2" t="n">
        <v>1</v>
      </c>
      <c r="E29" s="10" t="n">
        <v>0.0439601034355374</v>
      </c>
      <c r="F29" s="10" t="n">
        <v>1</v>
      </c>
    </row>
    <row r="30" customFormat="false" ht="15" hidden="false" customHeight="false" outlineLevel="0" collapsed="false">
      <c r="A30" s="2" t="s">
        <v>54</v>
      </c>
      <c r="B30" s="2" t="n">
        <v>5</v>
      </c>
      <c r="C30" s="2" t="s">
        <v>93</v>
      </c>
      <c r="D30" s="2" t="n">
        <v>1</v>
      </c>
      <c r="E30" s="10" t="n">
        <v>0.0074944893460691</v>
      </c>
      <c r="F30" s="10" t="n">
        <v>1</v>
      </c>
    </row>
    <row r="31" customFormat="false" ht="15" hidden="false" customHeight="false" outlineLevel="0" collapsed="false">
      <c r="A31" s="2" t="s">
        <v>54</v>
      </c>
      <c r="B31" s="2" t="n">
        <v>5</v>
      </c>
      <c r="C31" s="2" t="s">
        <v>94</v>
      </c>
      <c r="D31" s="2" t="n">
        <v>2</v>
      </c>
      <c r="E31" s="10" t="n">
        <v>-0.0141069044048848</v>
      </c>
      <c r="F31" s="10" t="n">
        <v>0</v>
      </c>
    </row>
    <row r="32" customFormat="false" ht="15" hidden="false" customHeight="false" outlineLevel="0" collapsed="false">
      <c r="A32" s="2" t="s">
        <v>54</v>
      </c>
      <c r="B32" s="2" t="n">
        <v>5</v>
      </c>
      <c r="C32" s="2" t="s">
        <v>95</v>
      </c>
      <c r="D32" s="2" t="n">
        <v>2</v>
      </c>
      <c r="E32" s="10" t="n">
        <v>0.0173714374778653</v>
      </c>
      <c r="F32" s="10" t="n">
        <v>1</v>
      </c>
    </row>
    <row r="33" customFormat="false" ht="15" hidden="false" customHeight="false" outlineLevel="0" collapsed="false">
      <c r="A33" s="2" t="s">
        <v>54</v>
      </c>
      <c r="B33" s="2" t="n">
        <v>5</v>
      </c>
      <c r="C33" s="2" t="s">
        <v>96</v>
      </c>
      <c r="D33" s="2" t="n">
        <v>1</v>
      </c>
      <c r="E33" s="10" t="n">
        <v>-0.0180081014441704</v>
      </c>
      <c r="F33" s="10" t="n">
        <v>0</v>
      </c>
    </row>
    <row r="34" customFormat="false" ht="15" hidden="false" customHeight="false" outlineLevel="0" collapsed="false">
      <c r="A34" s="2" t="s">
        <v>54</v>
      </c>
      <c r="B34" s="2" t="n">
        <v>5</v>
      </c>
      <c r="C34" s="2" t="s">
        <v>97</v>
      </c>
      <c r="D34" s="2" t="n">
        <v>2</v>
      </c>
      <c r="E34" s="10" t="n">
        <v>0.0135453136469824</v>
      </c>
      <c r="F34" s="10" t="n">
        <v>0.5</v>
      </c>
    </row>
    <row r="35" customFormat="false" ht="15" hidden="false" customHeight="false" outlineLevel="0" collapsed="false">
      <c r="A35" s="2" t="s">
        <v>54</v>
      </c>
      <c r="B35" s="2" t="n">
        <v>5</v>
      </c>
      <c r="C35" s="2" t="s">
        <v>98</v>
      </c>
      <c r="D35" s="2" t="n">
        <v>2</v>
      </c>
      <c r="E35" s="10" t="n">
        <v>0.01896657222371</v>
      </c>
      <c r="F35" s="10" t="n">
        <v>1</v>
      </c>
    </row>
    <row r="36" customFormat="false" ht="15" hidden="false" customHeight="false" outlineLevel="0" collapsed="false">
      <c r="A36" s="2" t="s">
        <v>54</v>
      </c>
      <c r="B36" s="2" t="n">
        <v>5</v>
      </c>
      <c r="C36" s="2" t="s">
        <v>99</v>
      </c>
      <c r="D36" s="2" t="n">
        <v>4</v>
      </c>
      <c r="E36" s="10" t="n">
        <v>-0.030768732655363</v>
      </c>
      <c r="F36" s="10" t="n">
        <v>0.5</v>
      </c>
    </row>
    <row r="37" customFormat="false" ht="15" hidden="false" customHeight="false" outlineLevel="0" collapsed="false">
      <c r="A37" s="2" t="s">
        <v>54</v>
      </c>
      <c r="B37" s="2" t="n">
        <v>5</v>
      </c>
      <c r="C37" s="2" t="s">
        <v>100</v>
      </c>
      <c r="D37" s="2" t="n">
        <v>3</v>
      </c>
      <c r="E37" s="10" t="n">
        <v>-0.000294084147730534</v>
      </c>
      <c r="F37" s="10" t="n">
        <v>0.333333333333333</v>
      </c>
    </row>
    <row r="38" customFormat="false" ht="15" hidden="false" customHeight="false" outlineLevel="0" collapsed="false">
      <c r="A38" s="2" t="s">
        <v>54</v>
      </c>
      <c r="B38" s="2" t="n">
        <v>10</v>
      </c>
      <c r="C38" s="2" t="s">
        <v>65</v>
      </c>
      <c r="D38" s="2" t="n">
        <v>3</v>
      </c>
      <c r="E38" s="10" t="n">
        <v>-0.141719851207573</v>
      </c>
      <c r="F38" s="10" t="n">
        <v>0.666666666666667</v>
      </c>
    </row>
    <row r="39" customFormat="false" ht="15" hidden="false" customHeight="false" outlineLevel="0" collapsed="false">
      <c r="A39" s="2" t="s">
        <v>54</v>
      </c>
      <c r="B39" s="2" t="n">
        <v>10</v>
      </c>
      <c r="C39" s="2" t="s">
        <v>66</v>
      </c>
      <c r="D39" s="2" t="n">
        <v>3</v>
      </c>
      <c r="E39" s="10" t="n">
        <v>-0.0376813983516267</v>
      </c>
      <c r="F39" s="10" t="n">
        <v>0.333333333333333</v>
      </c>
    </row>
    <row r="40" customFormat="false" ht="15" hidden="false" customHeight="false" outlineLevel="0" collapsed="false">
      <c r="A40" s="2" t="s">
        <v>54</v>
      </c>
      <c r="B40" s="2" t="n">
        <v>10</v>
      </c>
      <c r="C40" s="2" t="s">
        <v>67</v>
      </c>
      <c r="D40" s="2" t="n">
        <v>1</v>
      </c>
      <c r="E40" s="10" t="n">
        <v>-0.0588345512460184</v>
      </c>
      <c r="F40" s="10" t="n">
        <v>0</v>
      </c>
    </row>
    <row r="41" customFormat="false" ht="15" hidden="false" customHeight="false" outlineLevel="0" collapsed="false">
      <c r="A41" s="2" t="s">
        <v>54</v>
      </c>
      <c r="B41" s="2" t="n">
        <v>10</v>
      </c>
      <c r="C41" s="2" t="s">
        <v>68</v>
      </c>
      <c r="D41" s="2" t="n">
        <v>1</v>
      </c>
      <c r="E41" s="10" t="n">
        <v>-0.0401378696909049</v>
      </c>
      <c r="F41" s="10" t="n">
        <v>0</v>
      </c>
    </row>
    <row r="42" customFormat="false" ht="15" hidden="false" customHeight="false" outlineLevel="0" collapsed="false">
      <c r="A42" s="2" t="s">
        <v>54</v>
      </c>
      <c r="B42" s="2" t="n">
        <v>10</v>
      </c>
      <c r="C42" s="2" t="s">
        <v>69</v>
      </c>
      <c r="D42" s="2" t="n">
        <v>5</v>
      </c>
      <c r="E42" s="10" t="n">
        <v>-0.0972805009576517</v>
      </c>
      <c r="F42" s="10" t="n">
        <v>0</v>
      </c>
    </row>
    <row r="43" customFormat="false" ht="15" hidden="false" customHeight="false" outlineLevel="0" collapsed="false">
      <c r="A43" s="2" t="s">
        <v>54</v>
      </c>
      <c r="B43" s="2" t="n">
        <v>10</v>
      </c>
      <c r="C43" s="2" t="s">
        <v>70</v>
      </c>
      <c r="D43" s="2" t="n">
        <v>1</v>
      </c>
      <c r="E43" s="10" t="n">
        <v>0.0217215107797048</v>
      </c>
      <c r="F43" s="10" t="n">
        <v>1</v>
      </c>
    </row>
    <row r="44" customFormat="false" ht="15" hidden="false" customHeight="false" outlineLevel="0" collapsed="false">
      <c r="A44" s="2" t="s">
        <v>54</v>
      </c>
      <c r="B44" s="2" t="n">
        <v>10</v>
      </c>
      <c r="C44" s="2" t="s">
        <v>71</v>
      </c>
      <c r="D44" s="2" t="n">
        <v>1</v>
      </c>
      <c r="E44" s="10" t="n">
        <v>0.0477247502774694</v>
      </c>
      <c r="F44" s="10" t="n">
        <v>1</v>
      </c>
    </row>
    <row r="45" customFormat="false" ht="15" hidden="false" customHeight="false" outlineLevel="0" collapsed="false">
      <c r="A45" s="2" t="s">
        <v>54</v>
      </c>
      <c r="B45" s="2" t="n">
        <v>10</v>
      </c>
      <c r="C45" s="2" t="s">
        <v>72</v>
      </c>
      <c r="D45" s="2" t="n">
        <v>2</v>
      </c>
      <c r="E45" s="10" t="n">
        <v>-0.0035034340063459</v>
      </c>
      <c r="F45" s="10" t="n">
        <v>0.5</v>
      </c>
    </row>
    <row r="46" customFormat="false" ht="15" hidden="false" customHeight="false" outlineLevel="0" collapsed="false">
      <c r="A46" s="2" t="s">
        <v>54</v>
      </c>
      <c r="B46" s="2" t="n">
        <v>10</v>
      </c>
      <c r="C46" s="2" t="s">
        <v>73</v>
      </c>
      <c r="D46" s="2" t="n">
        <v>1</v>
      </c>
      <c r="E46" s="10" t="n">
        <v>-0.0054508784999183</v>
      </c>
      <c r="F46" s="10" t="n">
        <v>0</v>
      </c>
    </row>
    <row r="47" customFormat="false" ht="15" hidden="false" customHeight="false" outlineLevel="0" collapsed="false">
      <c r="A47" s="2" t="s">
        <v>54</v>
      </c>
      <c r="B47" s="2" t="n">
        <v>10</v>
      </c>
      <c r="C47" s="2" t="s">
        <v>74</v>
      </c>
      <c r="D47" s="2" t="n">
        <v>1</v>
      </c>
      <c r="E47" s="10" t="n">
        <v>-0.0046210720887245</v>
      </c>
      <c r="F47" s="10" t="n">
        <v>0</v>
      </c>
    </row>
    <row r="48" customFormat="false" ht="15" hidden="false" customHeight="false" outlineLevel="0" collapsed="false">
      <c r="A48" s="2" t="s">
        <v>54</v>
      </c>
      <c r="B48" s="2" t="n">
        <v>10</v>
      </c>
      <c r="C48" s="2" t="s">
        <v>75</v>
      </c>
      <c r="D48" s="2" t="n">
        <v>2</v>
      </c>
      <c r="E48" s="10" t="n">
        <v>0.0437431317541439</v>
      </c>
      <c r="F48" s="10" t="n">
        <v>0.5</v>
      </c>
    </row>
    <row r="49" customFormat="false" ht="15" hidden="false" customHeight="false" outlineLevel="0" collapsed="false">
      <c r="A49" s="2" t="s">
        <v>54</v>
      </c>
      <c r="B49" s="2" t="n">
        <v>10</v>
      </c>
      <c r="C49" s="2" t="s">
        <v>76</v>
      </c>
      <c r="D49" s="2" t="n">
        <v>2</v>
      </c>
      <c r="E49" s="10" t="n">
        <v>-0.0319957080064309</v>
      </c>
      <c r="F49" s="10" t="n">
        <v>0.5</v>
      </c>
    </row>
    <row r="50" customFormat="false" ht="15" hidden="false" customHeight="false" outlineLevel="0" collapsed="false">
      <c r="A50" s="2" t="s">
        <v>54</v>
      </c>
      <c r="B50" s="2" t="n">
        <v>10</v>
      </c>
      <c r="C50" s="2" t="s">
        <v>77</v>
      </c>
      <c r="D50" s="2" t="n">
        <v>1</v>
      </c>
      <c r="E50" s="10" t="n">
        <v>0.0729957805907172</v>
      </c>
      <c r="F50" s="10" t="n">
        <v>1</v>
      </c>
    </row>
    <row r="51" customFormat="false" ht="15" hidden="false" customHeight="false" outlineLevel="0" collapsed="false">
      <c r="A51" s="2" t="s">
        <v>54</v>
      </c>
      <c r="B51" s="2" t="n">
        <v>10</v>
      </c>
      <c r="C51" s="2" t="s">
        <v>78</v>
      </c>
      <c r="D51" s="2" t="n">
        <v>2</v>
      </c>
      <c r="E51" s="10" t="n">
        <v>-0.0405059763834831</v>
      </c>
      <c r="F51" s="10" t="n">
        <v>0.5</v>
      </c>
    </row>
    <row r="52" customFormat="false" ht="15" hidden="false" customHeight="false" outlineLevel="0" collapsed="false">
      <c r="A52" s="2" t="s">
        <v>54</v>
      </c>
      <c r="B52" s="2" t="n">
        <v>10</v>
      </c>
      <c r="C52" s="2" t="s">
        <v>79</v>
      </c>
      <c r="D52" s="2" t="n">
        <v>4</v>
      </c>
      <c r="E52" s="10" t="n">
        <v>-0.0102437178853055</v>
      </c>
      <c r="F52" s="10" t="n">
        <v>0.25</v>
      </c>
    </row>
    <row r="53" customFormat="false" ht="15" hidden="false" customHeight="false" outlineLevel="0" collapsed="false">
      <c r="A53" s="2" t="s">
        <v>54</v>
      </c>
      <c r="B53" s="2" t="n">
        <v>10</v>
      </c>
      <c r="C53" s="2" t="s">
        <v>80</v>
      </c>
      <c r="D53" s="2" t="n">
        <v>2</v>
      </c>
      <c r="E53" s="10" t="n">
        <v>0.0296750838734318</v>
      </c>
      <c r="F53" s="10" t="n">
        <v>1</v>
      </c>
    </row>
    <row r="54" customFormat="false" ht="15" hidden="false" customHeight="false" outlineLevel="0" collapsed="false">
      <c r="A54" s="2" t="s">
        <v>54</v>
      </c>
      <c r="B54" s="2" t="n">
        <v>10</v>
      </c>
      <c r="C54" s="2" t="s">
        <v>81</v>
      </c>
      <c r="D54" s="2" t="n">
        <v>1</v>
      </c>
      <c r="E54" s="10" t="n">
        <v>-0.0230172927847345</v>
      </c>
      <c r="F54" s="10" t="n">
        <v>0</v>
      </c>
    </row>
    <row r="55" customFormat="false" ht="15" hidden="false" customHeight="false" outlineLevel="0" collapsed="false">
      <c r="A55" s="2" t="s">
        <v>54</v>
      </c>
      <c r="B55" s="2" t="n">
        <v>10</v>
      </c>
      <c r="C55" s="2" t="s">
        <v>82</v>
      </c>
      <c r="D55" s="2" t="n">
        <v>3</v>
      </c>
      <c r="E55" s="10" t="n">
        <v>-0.0981115893777874</v>
      </c>
      <c r="F55" s="10" t="n">
        <v>0</v>
      </c>
    </row>
    <row r="56" customFormat="false" ht="15" hidden="false" customHeight="false" outlineLevel="0" collapsed="false">
      <c r="A56" s="2" t="s">
        <v>54</v>
      </c>
      <c r="B56" s="2" t="n">
        <v>10</v>
      </c>
      <c r="C56" s="2" t="s">
        <v>83</v>
      </c>
      <c r="D56" s="2" t="n">
        <v>3</v>
      </c>
      <c r="E56" s="10" t="n">
        <v>0.124690125862497</v>
      </c>
      <c r="F56" s="10" t="n">
        <v>1</v>
      </c>
    </row>
    <row r="57" customFormat="false" ht="15" hidden="false" customHeight="false" outlineLevel="0" collapsed="false">
      <c r="A57" s="2" t="s">
        <v>54</v>
      </c>
      <c r="B57" s="2" t="n">
        <v>10</v>
      </c>
      <c r="C57" s="2" t="s">
        <v>84</v>
      </c>
      <c r="D57" s="2" t="n">
        <v>1</v>
      </c>
      <c r="E57" s="10" t="n">
        <v>0.0455589234867273</v>
      </c>
      <c r="F57" s="10" t="n">
        <v>1</v>
      </c>
    </row>
    <row r="58" customFormat="false" ht="15" hidden="false" customHeight="false" outlineLevel="0" collapsed="false">
      <c r="A58" s="2" t="s">
        <v>54</v>
      </c>
      <c r="B58" s="2" t="n">
        <v>10</v>
      </c>
      <c r="C58" s="2" t="s">
        <v>85</v>
      </c>
      <c r="D58" s="2" t="n">
        <v>2</v>
      </c>
      <c r="E58" s="10" t="n">
        <v>-0.158306830752212</v>
      </c>
      <c r="F58" s="10" t="n">
        <v>0</v>
      </c>
    </row>
    <row r="59" customFormat="false" ht="15" hidden="false" customHeight="false" outlineLevel="0" collapsed="false">
      <c r="A59" s="2" t="s">
        <v>54</v>
      </c>
      <c r="B59" s="2" t="n">
        <v>10</v>
      </c>
      <c r="C59" s="2" t="s">
        <v>86</v>
      </c>
      <c r="D59" s="2" t="n">
        <v>1</v>
      </c>
      <c r="E59" s="10" t="n">
        <v>0.0382271468144044</v>
      </c>
      <c r="F59" s="10" t="n">
        <v>1</v>
      </c>
    </row>
    <row r="60" customFormat="false" ht="15" hidden="false" customHeight="false" outlineLevel="0" collapsed="false">
      <c r="A60" s="2" t="s">
        <v>54</v>
      </c>
      <c r="B60" s="2" t="n">
        <v>10</v>
      </c>
      <c r="C60" s="2" t="s">
        <v>87</v>
      </c>
      <c r="D60" s="2" t="n">
        <v>1</v>
      </c>
      <c r="E60" s="10" t="n">
        <v>-0.139728562615669</v>
      </c>
      <c r="F60" s="10" t="n">
        <v>0</v>
      </c>
    </row>
    <row r="61" customFormat="false" ht="15" hidden="false" customHeight="false" outlineLevel="0" collapsed="false">
      <c r="A61" s="2" t="s">
        <v>54</v>
      </c>
      <c r="B61" s="2" t="n">
        <v>10</v>
      </c>
      <c r="C61" s="2" t="s">
        <v>88</v>
      </c>
      <c r="D61" s="2" t="n">
        <v>3</v>
      </c>
      <c r="E61" s="10" t="n">
        <v>-0.0601960446679949</v>
      </c>
      <c r="F61" s="10" t="n">
        <v>0</v>
      </c>
    </row>
    <row r="62" customFormat="false" ht="15" hidden="false" customHeight="false" outlineLevel="0" collapsed="false">
      <c r="A62" s="2" t="s">
        <v>54</v>
      </c>
      <c r="B62" s="2" t="n">
        <v>10</v>
      </c>
      <c r="C62" s="2" t="s">
        <v>89</v>
      </c>
      <c r="D62" s="2" t="n">
        <v>1</v>
      </c>
      <c r="E62" s="10" t="n">
        <v>-0.0569117229633835</v>
      </c>
      <c r="F62" s="10" t="n">
        <v>0</v>
      </c>
    </row>
    <row r="63" customFormat="false" ht="15" hidden="false" customHeight="false" outlineLevel="0" collapsed="false">
      <c r="A63" s="2" t="s">
        <v>54</v>
      </c>
      <c r="B63" s="2" t="n">
        <v>10</v>
      </c>
      <c r="C63" s="2" t="s">
        <v>90</v>
      </c>
      <c r="D63" s="2" t="n">
        <v>4</v>
      </c>
      <c r="E63" s="10" t="n">
        <v>-0.0587595370098838</v>
      </c>
      <c r="F63" s="10" t="n">
        <v>0.5</v>
      </c>
    </row>
    <row r="64" customFormat="false" ht="15" hidden="false" customHeight="false" outlineLevel="0" collapsed="false">
      <c r="A64" s="2" t="s">
        <v>54</v>
      </c>
      <c r="B64" s="2" t="n">
        <v>10</v>
      </c>
      <c r="C64" s="2" t="s">
        <v>91</v>
      </c>
      <c r="D64" s="2" t="n">
        <v>2</v>
      </c>
      <c r="E64" s="10" t="n">
        <v>0.115257028673862</v>
      </c>
      <c r="F64" s="10" t="n">
        <v>1</v>
      </c>
    </row>
    <row r="65" customFormat="false" ht="15" hidden="false" customHeight="false" outlineLevel="0" collapsed="false">
      <c r="A65" s="2" t="s">
        <v>54</v>
      </c>
      <c r="B65" s="2" t="n">
        <v>10</v>
      </c>
      <c r="C65" s="2" t="s">
        <v>92</v>
      </c>
      <c r="D65" s="2" t="n">
        <v>1</v>
      </c>
      <c r="E65" s="10" t="n">
        <v>-0.0019948282231252</v>
      </c>
      <c r="F65" s="10" t="n">
        <v>0</v>
      </c>
    </row>
    <row r="66" customFormat="false" ht="15" hidden="false" customHeight="false" outlineLevel="0" collapsed="false">
      <c r="A66" s="2" t="s">
        <v>54</v>
      </c>
      <c r="B66" s="2" t="n">
        <v>10</v>
      </c>
      <c r="C66" s="2" t="s">
        <v>93</v>
      </c>
      <c r="D66" s="2" t="n">
        <v>1</v>
      </c>
      <c r="E66" s="10" t="n">
        <v>0.0124908155767816</v>
      </c>
      <c r="F66" s="10" t="n">
        <v>1</v>
      </c>
    </row>
    <row r="67" customFormat="false" ht="15" hidden="false" customHeight="false" outlineLevel="0" collapsed="false">
      <c r="A67" s="2" t="s">
        <v>54</v>
      </c>
      <c r="B67" s="2" t="n">
        <v>10</v>
      </c>
      <c r="C67" s="2" t="s">
        <v>94</v>
      </c>
      <c r="D67" s="2" t="n">
        <v>2</v>
      </c>
      <c r="E67" s="10" t="n">
        <v>-0.0869007328984997</v>
      </c>
      <c r="F67" s="10" t="n">
        <v>0</v>
      </c>
    </row>
    <row r="68" customFormat="false" ht="15" hidden="false" customHeight="false" outlineLevel="0" collapsed="false">
      <c r="A68" s="2" t="s">
        <v>54</v>
      </c>
      <c r="B68" s="2" t="n">
        <v>10</v>
      </c>
      <c r="C68" s="2" t="s">
        <v>95</v>
      </c>
      <c r="D68" s="2" t="n">
        <v>2</v>
      </c>
      <c r="E68" s="10" t="n">
        <v>-0.0310682346476348</v>
      </c>
      <c r="F68" s="10" t="n">
        <v>0</v>
      </c>
    </row>
    <row r="69" customFormat="false" ht="15" hidden="false" customHeight="false" outlineLevel="0" collapsed="false">
      <c r="A69" s="2" t="s">
        <v>54</v>
      </c>
      <c r="B69" s="2" t="n">
        <v>10</v>
      </c>
      <c r="C69" s="2" t="s">
        <v>96</v>
      </c>
      <c r="D69" s="2" t="n">
        <v>1</v>
      </c>
      <c r="E69" s="10" t="n">
        <v>-0.0737495597041213</v>
      </c>
      <c r="F69" s="10" t="n">
        <v>0</v>
      </c>
    </row>
    <row r="70" customFormat="false" ht="15" hidden="false" customHeight="false" outlineLevel="0" collapsed="false">
      <c r="A70" s="2" t="s">
        <v>54</v>
      </c>
      <c r="B70" s="2" t="n">
        <v>10</v>
      </c>
      <c r="C70" s="2" t="s">
        <v>97</v>
      </c>
      <c r="D70" s="2" t="n">
        <v>2</v>
      </c>
      <c r="E70" s="10" t="n">
        <v>0.115580531487112</v>
      </c>
      <c r="F70" s="10" t="n">
        <v>1</v>
      </c>
    </row>
    <row r="71" customFormat="false" ht="15" hidden="false" customHeight="false" outlineLevel="0" collapsed="false">
      <c r="A71" s="2" t="s">
        <v>54</v>
      </c>
      <c r="B71" s="2" t="n">
        <v>10</v>
      </c>
      <c r="C71" s="2" t="s">
        <v>98</v>
      </c>
      <c r="D71" s="2" t="n">
        <v>2</v>
      </c>
      <c r="E71" s="10" t="n">
        <v>0.043413016099009</v>
      </c>
      <c r="F71" s="10" t="n">
        <v>0.5</v>
      </c>
    </row>
    <row r="72" customFormat="false" ht="15" hidden="false" customHeight="false" outlineLevel="0" collapsed="false">
      <c r="A72" s="2" t="s">
        <v>54</v>
      </c>
      <c r="B72" s="2" t="n">
        <v>10</v>
      </c>
      <c r="C72" s="2" t="s">
        <v>99</v>
      </c>
      <c r="D72" s="2" t="n">
        <v>4</v>
      </c>
      <c r="E72" s="10" t="n">
        <v>-0.0409645909834566</v>
      </c>
      <c r="F72" s="10" t="n">
        <v>0.25</v>
      </c>
    </row>
    <row r="73" customFormat="false" ht="15" hidden="false" customHeight="false" outlineLevel="0" collapsed="false">
      <c r="A73" s="2" t="s">
        <v>54</v>
      </c>
      <c r="B73" s="2" t="n">
        <v>10</v>
      </c>
      <c r="C73" s="2" t="s">
        <v>100</v>
      </c>
      <c r="D73" s="2" t="n">
        <v>3</v>
      </c>
      <c r="E73" s="10" t="n">
        <v>-0.0747628011755382</v>
      </c>
      <c r="F73" s="10" t="n">
        <v>0.333333333333333</v>
      </c>
    </row>
    <row r="74" customFormat="false" ht="15" hidden="false" customHeight="false" outlineLevel="0" collapsed="false">
      <c r="A74" s="2" t="s">
        <v>54</v>
      </c>
      <c r="B74" s="2" t="n">
        <v>20</v>
      </c>
      <c r="C74" s="2" t="s">
        <v>65</v>
      </c>
      <c r="D74" s="2" t="n">
        <v>3</v>
      </c>
      <c r="E74" s="10" t="n">
        <v>-0.132191038630204</v>
      </c>
      <c r="F74" s="10" t="n">
        <v>0.333333333333333</v>
      </c>
    </row>
    <row r="75" customFormat="false" ht="15" hidden="false" customHeight="false" outlineLevel="0" collapsed="false">
      <c r="A75" s="2" t="s">
        <v>54</v>
      </c>
      <c r="B75" s="2" t="n">
        <v>20</v>
      </c>
      <c r="C75" s="2" t="s">
        <v>66</v>
      </c>
      <c r="D75" s="2" t="n">
        <v>3</v>
      </c>
      <c r="E75" s="10" t="n">
        <v>0.0965716524240828</v>
      </c>
      <c r="F75" s="10" t="n">
        <v>1</v>
      </c>
    </row>
    <row r="76" customFormat="false" ht="15" hidden="false" customHeight="false" outlineLevel="0" collapsed="false">
      <c r="A76" s="2" t="s">
        <v>54</v>
      </c>
      <c r="B76" s="2" t="n">
        <v>20</v>
      </c>
      <c r="C76" s="2" t="s">
        <v>67</v>
      </c>
      <c r="D76" s="2" t="n">
        <v>1</v>
      </c>
      <c r="E76" s="10" t="n">
        <v>0.197676597339329</v>
      </c>
      <c r="F76" s="10" t="n">
        <v>1</v>
      </c>
    </row>
    <row r="77" customFormat="false" ht="15" hidden="false" customHeight="false" outlineLevel="0" collapsed="false">
      <c r="A77" s="2" t="s">
        <v>54</v>
      </c>
      <c r="B77" s="2" t="n">
        <v>20</v>
      </c>
      <c r="C77" s="2" t="s">
        <v>68</v>
      </c>
      <c r="D77" s="2" t="n">
        <v>1</v>
      </c>
      <c r="E77" s="10" t="n">
        <v>-0.432399377362686</v>
      </c>
      <c r="F77" s="10" t="n">
        <v>0</v>
      </c>
    </row>
    <row r="78" customFormat="false" ht="15" hidden="false" customHeight="false" outlineLevel="0" collapsed="false">
      <c r="A78" s="2" t="s">
        <v>54</v>
      </c>
      <c r="B78" s="2" t="n">
        <v>20</v>
      </c>
      <c r="C78" s="2" t="s">
        <v>69</v>
      </c>
      <c r="D78" s="2" t="n">
        <v>5</v>
      </c>
      <c r="E78" s="10" t="n">
        <v>0.0392960172109544</v>
      </c>
      <c r="F78" s="10" t="n">
        <v>0.8</v>
      </c>
    </row>
    <row r="79" customFormat="false" ht="15" hidden="false" customHeight="false" outlineLevel="0" collapsed="false">
      <c r="A79" s="2" t="s">
        <v>54</v>
      </c>
      <c r="B79" s="2" t="n">
        <v>20</v>
      </c>
      <c r="C79" s="2" t="s">
        <v>70</v>
      </c>
      <c r="D79" s="2" t="n">
        <v>1</v>
      </c>
      <c r="E79" s="10" t="n">
        <v>-0.153509482898363</v>
      </c>
      <c r="F79" s="10" t="n">
        <v>0</v>
      </c>
    </row>
    <row r="80" customFormat="false" ht="15" hidden="false" customHeight="false" outlineLevel="0" collapsed="false">
      <c r="A80" s="2" t="s">
        <v>54</v>
      </c>
      <c r="B80" s="2" t="n">
        <v>20</v>
      </c>
      <c r="C80" s="2" t="s">
        <v>71</v>
      </c>
      <c r="D80" s="2" t="n">
        <v>1</v>
      </c>
      <c r="E80" s="10" t="n">
        <v>0.109322974472808</v>
      </c>
      <c r="F80" s="10" t="n">
        <v>1</v>
      </c>
    </row>
    <row r="81" customFormat="false" ht="15" hidden="false" customHeight="false" outlineLevel="0" collapsed="false">
      <c r="A81" s="2" t="s">
        <v>54</v>
      </c>
      <c r="B81" s="2" t="n">
        <v>20</v>
      </c>
      <c r="C81" s="2" t="s">
        <v>72</v>
      </c>
      <c r="D81" s="2" t="n">
        <v>2</v>
      </c>
      <c r="E81" s="10" t="n">
        <v>-0.00605676451996735</v>
      </c>
      <c r="F81" s="10" t="n">
        <v>0.5</v>
      </c>
    </row>
    <row r="82" customFormat="false" ht="15" hidden="false" customHeight="false" outlineLevel="0" collapsed="false">
      <c r="A82" s="2" t="s">
        <v>54</v>
      </c>
      <c r="B82" s="2" t="n">
        <v>20</v>
      </c>
      <c r="C82" s="2" t="s">
        <v>73</v>
      </c>
      <c r="D82" s="2" t="n">
        <v>1</v>
      </c>
      <c r="E82" s="10" t="n">
        <v>-0.0468085106382978</v>
      </c>
      <c r="F82" s="10" t="n">
        <v>0</v>
      </c>
    </row>
    <row r="83" customFormat="false" ht="15" hidden="false" customHeight="false" outlineLevel="0" collapsed="false">
      <c r="A83" s="2" t="s">
        <v>54</v>
      </c>
      <c r="B83" s="2" t="n">
        <v>20</v>
      </c>
      <c r="C83" s="2" t="s">
        <v>74</v>
      </c>
      <c r="D83" s="2" t="n">
        <v>1</v>
      </c>
      <c r="E83" s="10" t="n">
        <v>-0.0120147874306839</v>
      </c>
      <c r="F83" s="10" t="n">
        <v>0</v>
      </c>
    </row>
    <row r="84" customFormat="false" ht="15" hidden="false" customHeight="false" outlineLevel="0" collapsed="false">
      <c r="A84" s="2" t="s">
        <v>54</v>
      </c>
      <c r="B84" s="2" t="n">
        <v>20</v>
      </c>
      <c r="C84" s="2" t="s">
        <v>75</v>
      </c>
      <c r="D84" s="2" t="n">
        <v>2</v>
      </c>
      <c r="E84" s="10" t="n">
        <v>0.0728777388871116</v>
      </c>
      <c r="F84" s="10" t="n">
        <v>1</v>
      </c>
    </row>
    <row r="85" customFormat="false" ht="15" hidden="false" customHeight="false" outlineLevel="0" collapsed="false">
      <c r="A85" s="2" t="s">
        <v>54</v>
      </c>
      <c r="B85" s="2" t="n">
        <v>20</v>
      </c>
      <c r="C85" s="2" t="s">
        <v>76</v>
      </c>
      <c r="D85" s="2" t="n">
        <v>2</v>
      </c>
      <c r="E85" s="10" t="n">
        <v>-0.0353263555263264</v>
      </c>
      <c r="F85" s="10" t="n">
        <v>0</v>
      </c>
    </row>
    <row r="86" customFormat="false" ht="15" hidden="false" customHeight="false" outlineLevel="0" collapsed="false">
      <c r="A86" s="2" t="s">
        <v>54</v>
      </c>
      <c r="B86" s="2" t="n">
        <v>20</v>
      </c>
      <c r="C86" s="2" t="s">
        <v>77</v>
      </c>
      <c r="D86" s="2" t="n">
        <v>1</v>
      </c>
      <c r="E86" s="10" t="n">
        <v>0.167088607594937</v>
      </c>
      <c r="F86" s="10" t="n">
        <v>1</v>
      </c>
    </row>
    <row r="87" customFormat="false" ht="15" hidden="false" customHeight="false" outlineLevel="0" collapsed="false">
      <c r="A87" s="2" t="s">
        <v>54</v>
      </c>
      <c r="B87" s="2" t="n">
        <v>20</v>
      </c>
      <c r="C87" s="2" t="s">
        <v>78</v>
      </c>
      <c r="D87" s="2" t="n">
        <v>2</v>
      </c>
      <c r="E87" s="10" t="n">
        <v>0.0718242393911091</v>
      </c>
      <c r="F87" s="10" t="n">
        <v>0.5</v>
      </c>
    </row>
    <row r="88" customFormat="false" ht="15" hidden="false" customHeight="false" outlineLevel="0" collapsed="false">
      <c r="A88" s="2" t="s">
        <v>54</v>
      </c>
      <c r="B88" s="2" t="n">
        <v>20</v>
      </c>
      <c r="C88" s="2" t="s">
        <v>79</v>
      </c>
      <c r="D88" s="2" t="n">
        <v>3</v>
      </c>
      <c r="E88" s="10" t="n">
        <v>-0.079569553763734</v>
      </c>
      <c r="F88" s="10" t="n">
        <v>0.333333333333333</v>
      </c>
    </row>
    <row r="89" customFormat="false" ht="15" hidden="false" customHeight="false" outlineLevel="0" collapsed="false">
      <c r="A89" s="2" t="s">
        <v>54</v>
      </c>
      <c r="B89" s="2" t="n">
        <v>20</v>
      </c>
      <c r="C89" s="2" t="s">
        <v>80</v>
      </c>
      <c r="D89" s="2" t="n">
        <v>2</v>
      </c>
      <c r="E89" s="10" t="n">
        <v>0.122293428113456</v>
      </c>
      <c r="F89" s="10" t="n">
        <v>0.5</v>
      </c>
    </row>
    <row r="90" customFormat="false" ht="15" hidden="false" customHeight="false" outlineLevel="0" collapsed="false">
      <c r="A90" s="2" t="s">
        <v>54</v>
      </c>
      <c r="B90" s="2" t="n">
        <v>20</v>
      </c>
      <c r="C90" s="2" t="s">
        <v>81</v>
      </c>
      <c r="D90" s="2" t="n">
        <v>1</v>
      </c>
      <c r="E90" s="10" t="n">
        <v>-0.190339892665474</v>
      </c>
      <c r="F90" s="10" t="n">
        <v>0</v>
      </c>
    </row>
    <row r="91" customFormat="false" ht="15" hidden="false" customHeight="false" outlineLevel="0" collapsed="false">
      <c r="A91" s="2" t="s">
        <v>54</v>
      </c>
      <c r="B91" s="2" t="n">
        <v>20</v>
      </c>
      <c r="C91" s="2" t="s">
        <v>82</v>
      </c>
      <c r="D91" s="2" t="n">
        <v>3</v>
      </c>
      <c r="E91" s="10" t="n">
        <v>-0.181215936605933</v>
      </c>
      <c r="F91" s="10" t="n">
        <v>0.666666666666667</v>
      </c>
    </row>
    <row r="92" customFormat="false" ht="15" hidden="false" customHeight="false" outlineLevel="0" collapsed="false">
      <c r="A92" s="2" t="s">
        <v>54</v>
      </c>
      <c r="B92" s="2" t="n">
        <v>20</v>
      </c>
      <c r="C92" s="2" t="s">
        <v>83</v>
      </c>
      <c r="D92" s="2" t="n">
        <v>3</v>
      </c>
      <c r="E92" s="10" t="n">
        <v>0.0520109476482453</v>
      </c>
      <c r="F92" s="10" t="n">
        <v>0.666666666666667</v>
      </c>
    </row>
    <row r="93" customFormat="false" ht="15" hidden="false" customHeight="false" outlineLevel="0" collapsed="false">
      <c r="A93" s="2" t="s">
        <v>54</v>
      </c>
      <c r="B93" s="2" t="n">
        <v>20</v>
      </c>
      <c r="C93" s="2" t="s">
        <v>84</v>
      </c>
      <c r="D93" s="2" t="n">
        <v>1</v>
      </c>
      <c r="E93" s="10" t="n">
        <v>-0.133553779737301</v>
      </c>
      <c r="F93" s="10" t="n">
        <v>0</v>
      </c>
    </row>
    <row r="94" customFormat="false" ht="15" hidden="false" customHeight="false" outlineLevel="0" collapsed="false">
      <c r="A94" s="2" t="s">
        <v>54</v>
      </c>
      <c r="B94" s="2" t="n">
        <v>20</v>
      </c>
      <c r="C94" s="2" t="s">
        <v>85</v>
      </c>
      <c r="D94" s="2" t="n">
        <v>2</v>
      </c>
      <c r="E94" s="10" t="n">
        <v>-0.289530367905096</v>
      </c>
      <c r="F94" s="10" t="n">
        <v>0</v>
      </c>
    </row>
    <row r="95" customFormat="false" ht="15" hidden="false" customHeight="false" outlineLevel="0" collapsed="false">
      <c r="A95" s="2" t="s">
        <v>54</v>
      </c>
      <c r="B95" s="2" t="n">
        <v>20</v>
      </c>
      <c r="C95" s="2" t="s">
        <v>86</v>
      </c>
      <c r="D95" s="2" t="n">
        <v>1</v>
      </c>
      <c r="E95" s="10" t="n">
        <v>0.0925207756232687</v>
      </c>
      <c r="F95" s="10" t="n">
        <v>1</v>
      </c>
    </row>
    <row r="96" customFormat="false" ht="15" hidden="false" customHeight="false" outlineLevel="0" collapsed="false">
      <c r="A96" s="2" t="s">
        <v>54</v>
      </c>
      <c r="B96" s="2" t="n">
        <v>20</v>
      </c>
      <c r="C96" s="2" t="s">
        <v>87</v>
      </c>
      <c r="D96" s="2" t="n">
        <v>1</v>
      </c>
      <c r="E96" s="10" t="n">
        <v>0.0225169648365205</v>
      </c>
      <c r="F96" s="10" t="n">
        <v>1</v>
      </c>
    </row>
    <row r="97" customFormat="false" ht="15" hidden="false" customHeight="false" outlineLevel="0" collapsed="false">
      <c r="A97" s="2" t="s">
        <v>54</v>
      </c>
      <c r="B97" s="2" t="n">
        <v>20</v>
      </c>
      <c r="C97" s="2" t="s">
        <v>88</v>
      </c>
      <c r="D97" s="2" t="n">
        <v>3</v>
      </c>
      <c r="E97" s="10" t="n">
        <v>-0.0513200873641412</v>
      </c>
      <c r="F97" s="10" t="n">
        <v>0.333333333333333</v>
      </c>
    </row>
    <row r="98" customFormat="false" ht="15" hidden="false" customHeight="false" outlineLevel="0" collapsed="false">
      <c r="A98" s="2" t="s">
        <v>54</v>
      </c>
      <c r="B98" s="2" t="n">
        <v>20</v>
      </c>
      <c r="C98" s="2" t="s">
        <v>89</v>
      </c>
      <c r="D98" s="2" t="n">
        <v>1</v>
      </c>
      <c r="E98" s="10" t="n">
        <v>-0.297047970479705</v>
      </c>
      <c r="F98" s="10" t="n">
        <v>0</v>
      </c>
    </row>
    <row r="99" customFormat="false" ht="15" hidden="false" customHeight="false" outlineLevel="0" collapsed="false">
      <c r="A99" s="2" t="s">
        <v>54</v>
      </c>
      <c r="B99" s="2" t="n">
        <v>20</v>
      </c>
      <c r="C99" s="2" t="s">
        <v>90</v>
      </c>
      <c r="D99" s="2" t="n">
        <v>4</v>
      </c>
      <c r="E99" s="10" t="n">
        <v>-0.207883725353293</v>
      </c>
      <c r="F99" s="10" t="n">
        <v>0.25</v>
      </c>
    </row>
    <row r="100" customFormat="false" ht="15" hidden="false" customHeight="false" outlineLevel="0" collapsed="false">
      <c r="A100" s="2" t="s">
        <v>54</v>
      </c>
      <c r="B100" s="2" t="n">
        <v>20</v>
      </c>
      <c r="C100" s="2" t="s">
        <v>91</v>
      </c>
      <c r="D100" s="2" t="n">
        <v>2</v>
      </c>
      <c r="E100" s="10" t="n">
        <v>0.183903408734699</v>
      </c>
      <c r="F100" s="10" t="n">
        <v>1</v>
      </c>
    </row>
    <row r="101" customFormat="false" ht="15" hidden="false" customHeight="false" outlineLevel="0" collapsed="false">
      <c r="A101" s="2" t="s">
        <v>54</v>
      </c>
      <c r="B101" s="2" t="n">
        <v>20</v>
      </c>
      <c r="C101" s="2" t="s">
        <v>92</v>
      </c>
      <c r="D101" s="2" t="n">
        <v>1</v>
      </c>
      <c r="E101" s="10" t="n">
        <v>-0.0838566678980421</v>
      </c>
      <c r="F101" s="10" t="n">
        <v>0</v>
      </c>
    </row>
    <row r="102" customFormat="false" ht="15" hidden="false" customHeight="false" outlineLevel="0" collapsed="false">
      <c r="A102" s="2" t="s">
        <v>54</v>
      </c>
      <c r="B102" s="2" t="n">
        <v>20</v>
      </c>
      <c r="C102" s="2" t="s">
        <v>93</v>
      </c>
      <c r="D102" s="2" t="n">
        <v>1</v>
      </c>
      <c r="E102" s="10" t="n">
        <v>0.0144011756061719</v>
      </c>
      <c r="F102" s="10" t="n">
        <v>1</v>
      </c>
    </row>
    <row r="103" customFormat="false" ht="15" hidden="false" customHeight="false" outlineLevel="0" collapsed="false">
      <c r="A103" s="2" t="s">
        <v>54</v>
      </c>
      <c r="B103" s="2" t="n">
        <v>20</v>
      </c>
      <c r="C103" s="2" t="s">
        <v>94</v>
      </c>
      <c r="D103" s="2" t="n">
        <v>2</v>
      </c>
      <c r="E103" s="10" t="n">
        <v>-0.156795779749334</v>
      </c>
      <c r="F103" s="10" t="n">
        <v>0.5</v>
      </c>
    </row>
    <row r="104" customFormat="false" ht="15" hidden="false" customHeight="false" outlineLevel="0" collapsed="false">
      <c r="A104" s="2" t="s">
        <v>54</v>
      </c>
      <c r="B104" s="2" t="n">
        <v>20</v>
      </c>
      <c r="C104" s="2" t="s">
        <v>95</v>
      </c>
      <c r="D104" s="2" t="n">
        <v>2</v>
      </c>
      <c r="E104" s="10" t="n">
        <v>0.134330595164225</v>
      </c>
      <c r="F104" s="10" t="n">
        <v>1</v>
      </c>
    </row>
    <row r="105" customFormat="false" ht="15" hidden="false" customHeight="false" outlineLevel="0" collapsed="false">
      <c r="A105" s="2" t="s">
        <v>54</v>
      </c>
      <c r="B105" s="2" t="n">
        <v>20</v>
      </c>
      <c r="C105" s="2" t="s">
        <v>96</v>
      </c>
      <c r="D105" s="2" t="n">
        <v>1</v>
      </c>
      <c r="E105" s="10" t="n">
        <v>-0.0437654103557589</v>
      </c>
      <c r="F105" s="10" t="n">
        <v>0</v>
      </c>
    </row>
    <row r="106" customFormat="false" ht="15" hidden="false" customHeight="false" outlineLevel="0" collapsed="false">
      <c r="A106" s="2" t="s">
        <v>54</v>
      </c>
      <c r="B106" s="2" t="n">
        <v>20</v>
      </c>
      <c r="C106" s="2" t="s">
        <v>97</v>
      </c>
      <c r="D106" s="2" t="n">
        <v>2</v>
      </c>
      <c r="E106" s="10" t="n">
        <v>0.118217623030451</v>
      </c>
      <c r="F106" s="10" t="n">
        <v>1</v>
      </c>
    </row>
    <row r="107" customFormat="false" ht="15" hidden="false" customHeight="false" outlineLevel="0" collapsed="false">
      <c r="A107" s="2" t="s">
        <v>54</v>
      </c>
      <c r="B107" s="2" t="n">
        <v>20</v>
      </c>
      <c r="C107" s="2" t="s">
        <v>98</v>
      </c>
      <c r="D107" s="2" t="n">
        <v>2</v>
      </c>
      <c r="E107" s="10" t="n">
        <v>0.06946672715469</v>
      </c>
      <c r="F107" s="10" t="n">
        <v>0.5</v>
      </c>
    </row>
    <row r="108" customFormat="false" ht="15" hidden="false" customHeight="false" outlineLevel="0" collapsed="false">
      <c r="A108" s="2" t="s">
        <v>54</v>
      </c>
      <c r="B108" s="2" t="n">
        <v>20</v>
      </c>
      <c r="C108" s="2" t="s">
        <v>99</v>
      </c>
      <c r="D108" s="2" t="n">
        <v>4</v>
      </c>
      <c r="E108" s="10" t="n">
        <v>-0.0465949025249846</v>
      </c>
      <c r="F108" s="10" t="n">
        <v>0.25</v>
      </c>
    </row>
    <row r="109" customFormat="false" ht="15" hidden="false" customHeight="false" outlineLevel="0" collapsed="false">
      <c r="A109" s="2" t="s">
        <v>54</v>
      </c>
      <c r="B109" s="2" t="n">
        <v>20</v>
      </c>
      <c r="C109" s="2" t="s">
        <v>100</v>
      </c>
      <c r="D109" s="2" t="n">
        <v>3</v>
      </c>
      <c r="E109" s="10" t="n">
        <v>-0.103461079811296</v>
      </c>
      <c r="F109" s="10" t="n">
        <v>0.333333333333333</v>
      </c>
    </row>
    <row r="110" customFormat="false" ht="15" hidden="false" customHeight="false" outlineLevel="0" collapsed="false">
      <c r="A110" s="2" t="s">
        <v>50</v>
      </c>
      <c r="B110" s="2" t="n">
        <v>5</v>
      </c>
      <c r="C110" s="2" t="s">
        <v>65</v>
      </c>
      <c r="D110" s="2" t="n">
        <v>1</v>
      </c>
      <c r="E110" s="10" t="n">
        <v>0.0338872596937112</v>
      </c>
      <c r="F110" s="10" t="n">
        <v>1</v>
      </c>
    </row>
    <row r="111" customFormat="false" ht="15" hidden="false" customHeight="false" outlineLevel="0" collapsed="false">
      <c r="A111" s="2" t="s">
        <v>50</v>
      </c>
      <c r="B111" s="2" t="n">
        <v>5</v>
      </c>
      <c r="C111" s="2" t="s">
        <v>66</v>
      </c>
      <c r="D111" s="2" t="n">
        <v>3</v>
      </c>
      <c r="E111" s="10" t="n">
        <v>0.0205514937751005</v>
      </c>
      <c r="F111" s="10" t="n">
        <v>0.666666666666667</v>
      </c>
    </row>
    <row r="112" customFormat="false" ht="15" hidden="false" customHeight="false" outlineLevel="0" collapsed="false">
      <c r="A112" s="2" t="s">
        <v>50</v>
      </c>
      <c r="B112" s="2" t="n">
        <v>5</v>
      </c>
      <c r="C112" s="2" t="s">
        <v>67</v>
      </c>
      <c r="D112" s="2" t="n">
        <v>1</v>
      </c>
      <c r="E112" s="10" t="n">
        <v>-0.137773079633545</v>
      </c>
      <c r="F112" s="10" t="n">
        <v>0</v>
      </c>
    </row>
    <row r="113" customFormat="false" ht="15" hidden="false" customHeight="false" outlineLevel="0" collapsed="false">
      <c r="A113" s="2" t="s">
        <v>50</v>
      </c>
      <c r="B113" s="2" t="n">
        <v>5</v>
      </c>
      <c r="C113" s="2" t="s">
        <v>101</v>
      </c>
      <c r="D113" s="2" t="n">
        <v>1</v>
      </c>
      <c r="E113" s="10" t="n">
        <v>0.0314723590585659</v>
      </c>
      <c r="F113" s="10" t="n">
        <v>1</v>
      </c>
    </row>
    <row r="114" customFormat="false" ht="15" hidden="false" customHeight="false" outlineLevel="0" collapsed="false">
      <c r="A114" s="2" t="s">
        <v>50</v>
      </c>
      <c r="B114" s="2" t="n">
        <v>5</v>
      </c>
      <c r="C114" s="2" t="s">
        <v>70</v>
      </c>
      <c r="D114" s="2" t="n">
        <v>3</v>
      </c>
      <c r="E114" s="10" t="n">
        <v>-1.36845273838998E-005</v>
      </c>
      <c r="F114" s="10" t="n">
        <v>0.666666666666667</v>
      </c>
    </row>
    <row r="115" customFormat="false" ht="15" hidden="false" customHeight="false" outlineLevel="0" collapsed="false">
      <c r="A115" s="2" t="s">
        <v>50</v>
      </c>
      <c r="B115" s="2" t="n">
        <v>5</v>
      </c>
      <c r="C115" s="2" t="s">
        <v>71</v>
      </c>
      <c r="D115" s="2" t="n">
        <v>4</v>
      </c>
      <c r="E115" s="10" t="n">
        <v>0.0498444559320911</v>
      </c>
      <c r="F115" s="10" t="n">
        <v>0.75</v>
      </c>
    </row>
    <row r="116" customFormat="false" ht="15" hidden="false" customHeight="false" outlineLevel="0" collapsed="false">
      <c r="A116" s="2" t="s">
        <v>50</v>
      </c>
      <c r="B116" s="2" t="n">
        <v>5</v>
      </c>
      <c r="C116" s="2" t="s">
        <v>72</v>
      </c>
      <c r="D116" s="2" t="n">
        <v>1</v>
      </c>
      <c r="E116" s="10" t="n">
        <v>-0.0210178651854076</v>
      </c>
      <c r="F116" s="10" t="n">
        <v>0</v>
      </c>
    </row>
    <row r="117" customFormat="false" ht="15" hidden="false" customHeight="false" outlineLevel="0" collapsed="false">
      <c r="A117" s="2" t="s">
        <v>50</v>
      </c>
      <c r="B117" s="2" t="n">
        <v>5</v>
      </c>
      <c r="C117" s="2" t="s">
        <v>73</v>
      </c>
      <c r="D117" s="2" t="n">
        <v>6</v>
      </c>
      <c r="E117" s="10" t="n">
        <v>-0.0083482385026824</v>
      </c>
      <c r="F117" s="10" t="n">
        <v>0.5</v>
      </c>
    </row>
    <row r="118" customFormat="false" ht="15" hidden="false" customHeight="false" outlineLevel="0" collapsed="false">
      <c r="A118" s="2" t="s">
        <v>50</v>
      </c>
      <c r="B118" s="2" t="n">
        <v>5</v>
      </c>
      <c r="C118" s="2" t="s">
        <v>75</v>
      </c>
      <c r="D118" s="2" t="n">
        <v>1</v>
      </c>
      <c r="E118" s="10" t="n">
        <v>-0.0319415239811755</v>
      </c>
      <c r="F118" s="10" t="n">
        <v>0</v>
      </c>
    </row>
    <row r="119" customFormat="false" ht="15" hidden="false" customHeight="false" outlineLevel="0" collapsed="false">
      <c r="A119" s="2" t="s">
        <v>50</v>
      </c>
      <c r="B119" s="2" t="n">
        <v>5</v>
      </c>
      <c r="C119" s="2" t="s">
        <v>76</v>
      </c>
      <c r="D119" s="2" t="n">
        <v>1</v>
      </c>
      <c r="E119" s="10" t="n">
        <v>0.0187543412827044</v>
      </c>
      <c r="F119" s="10" t="n">
        <v>1</v>
      </c>
    </row>
    <row r="120" customFormat="false" ht="15" hidden="false" customHeight="false" outlineLevel="0" collapsed="false">
      <c r="A120" s="2" t="s">
        <v>50</v>
      </c>
      <c r="B120" s="2" t="n">
        <v>5</v>
      </c>
      <c r="C120" s="2" t="s">
        <v>77</v>
      </c>
      <c r="D120" s="2" t="n">
        <v>1</v>
      </c>
      <c r="E120" s="10" t="n">
        <v>0.0668604651162791</v>
      </c>
      <c r="F120" s="10" t="n">
        <v>1</v>
      </c>
    </row>
    <row r="121" customFormat="false" ht="15" hidden="false" customHeight="false" outlineLevel="0" collapsed="false">
      <c r="A121" s="2" t="s">
        <v>50</v>
      </c>
      <c r="B121" s="2" t="n">
        <v>5</v>
      </c>
      <c r="C121" s="2" t="s">
        <v>79</v>
      </c>
      <c r="D121" s="2" t="n">
        <v>3</v>
      </c>
      <c r="E121" s="10" t="n">
        <v>0.0673240336391033</v>
      </c>
      <c r="F121" s="10" t="n">
        <v>1</v>
      </c>
    </row>
    <row r="122" customFormat="false" ht="15" hidden="false" customHeight="false" outlineLevel="0" collapsed="false">
      <c r="A122" s="2" t="s">
        <v>50</v>
      </c>
      <c r="B122" s="2" t="n">
        <v>5</v>
      </c>
      <c r="C122" s="2" t="s">
        <v>80</v>
      </c>
      <c r="D122" s="2" t="n">
        <v>5</v>
      </c>
      <c r="E122" s="10" t="n">
        <v>0.0328921754376129</v>
      </c>
      <c r="F122" s="10" t="n">
        <v>0.4</v>
      </c>
    </row>
    <row r="123" customFormat="false" ht="15" hidden="false" customHeight="false" outlineLevel="0" collapsed="false">
      <c r="A123" s="2" t="s">
        <v>50</v>
      </c>
      <c r="B123" s="2" t="n">
        <v>5</v>
      </c>
      <c r="C123" s="2" t="s">
        <v>102</v>
      </c>
      <c r="D123" s="2" t="n">
        <v>1</v>
      </c>
      <c r="E123" s="10" t="n">
        <v>0.0129133790367783</v>
      </c>
      <c r="F123" s="10" t="n">
        <v>1</v>
      </c>
    </row>
    <row r="124" customFormat="false" ht="15" hidden="false" customHeight="false" outlineLevel="0" collapsed="false">
      <c r="A124" s="2" t="s">
        <v>50</v>
      </c>
      <c r="B124" s="2" t="n">
        <v>5</v>
      </c>
      <c r="C124" s="2" t="s">
        <v>82</v>
      </c>
      <c r="D124" s="2" t="n">
        <v>1</v>
      </c>
      <c r="E124" s="10" t="n">
        <v>0.0355272999252058</v>
      </c>
      <c r="F124" s="10" t="n">
        <v>1</v>
      </c>
    </row>
    <row r="125" customFormat="false" ht="15" hidden="false" customHeight="false" outlineLevel="0" collapsed="false">
      <c r="A125" s="2" t="s">
        <v>50</v>
      </c>
      <c r="B125" s="2" t="n">
        <v>5</v>
      </c>
      <c r="C125" s="2" t="s">
        <v>84</v>
      </c>
      <c r="D125" s="2" t="n">
        <v>1</v>
      </c>
      <c r="E125" s="10" t="n">
        <v>0.031021111589832</v>
      </c>
      <c r="F125" s="10" t="n">
        <v>1</v>
      </c>
    </row>
    <row r="126" customFormat="false" ht="15" hidden="false" customHeight="false" outlineLevel="0" collapsed="false">
      <c r="A126" s="2" t="s">
        <v>50</v>
      </c>
      <c r="B126" s="2" t="n">
        <v>5</v>
      </c>
      <c r="C126" s="2" t="s">
        <v>85</v>
      </c>
      <c r="D126" s="2" t="n">
        <v>2</v>
      </c>
      <c r="E126" s="10" t="n">
        <v>0.0696872318992707</v>
      </c>
      <c r="F126" s="10" t="n">
        <v>1</v>
      </c>
    </row>
    <row r="127" customFormat="false" ht="15" hidden="false" customHeight="false" outlineLevel="0" collapsed="false">
      <c r="A127" s="2" t="s">
        <v>50</v>
      </c>
      <c r="B127" s="2" t="n">
        <v>5</v>
      </c>
      <c r="C127" s="2" t="s">
        <v>86</v>
      </c>
      <c r="D127" s="2" t="n">
        <v>1</v>
      </c>
      <c r="E127" s="10" t="n">
        <v>-0.0330788804071248</v>
      </c>
      <c r="F127" s="10" t="n">
        <v>0</v>
      </c>
    </row>
    <row r="128" customFormat="false" ht="15" hidden="false" customHeight="false" outlineLevel="0" collapsed="false">
      <c r="A128" s="2" t="s">
        <v>50</v>
      </c>
      <c r="B128" s="2" t="n">
        <v>5</v>
      </c>
      <c r="C128" s="2" t="s">
        <v>89</v>
      </c>
      <c r="D128" s="2" t="n">
        <v>1</v>
      </c>
      <c r="E128" s="10" t="n">
        <v>-0.157437348423605</v>
      </c>
      <c r="F128" s="10" t="n">
        <v>0</v>
      </c>
    </row>
    <row r="129" customFormat="false" ht="15" hidden="false" customHeight="false" outlineLevel="0" collapsed="false">
      <c r="A129" s="2" t="s">
        <v>50</v>
      </c>
      <c r="B129" s="2" t="n">
        <v>5</v>
      </c>
      <c r="C129" s="2" t="s">
        <v>90</v>
      </c>
      <c r="D129" s="2" t="n">
        <v>1</v>
      </c>
      <c r="E129" s="10" t="n">
        <v>-0.053968253968254</v>
      </c>
      <c r="F129" s="10" t="n">
        <v>0</v>
      </c>
    </row>
    <row r="130" customFormat="false" ht="15" hidden="false" customHeight="false" outlineLevel="0" collapsed="false">
      <c r="A130" s="2" t="s">
        <v>50</v>
      </c>
      <c r="B130" s="2" t="n">
        <v>5</v>
      </c>
      <c r="C130" s="2" t="s">
        <v>91</v>
      </c>
      <c r="D130" s="2" t="n">
        <v>2</v>
      </c>
      <c r="E130" s="10" t="n">
        <v>-0.0280301307967357</v>
      </c>
      <c r="F130" s="10" t="n">
        <v>0</v>
      </c>
    </row>
    <row r="131" customFormat="false" ht="15" hidden="false" customHeight="false" outlineLevel="0" collapsed="false">
      <c r="A131" s="2" t="s">
        <v>50</v>
      </c>
      <c r="B131" s="2" t="n">
        <v>5</v>
      </c>
      <c r="C131" s="2" t="s">
        <v>92</v>
      </c>
      <c r="D131" s="2" t="n">
        <v>1</v>
      </c>
      <c r="E131" s="10" t="n">
        <v>0.0894829317269074</v>
      </c>
      <c r="F131" s="10" t="n">
        <v>1</v>
      </c>
    </row>
    <row r="132" customFormat="false" ht="15" hidden="false" customHeight="false" outlineLevel="0" collapsed="false">
      <c r="A132" s="2" t="s">
        <v>50</v>
      </c>
      <c r="B132" s="2" t="n">
        <v>5</v>
      </c>
      <c r="C132" s="2" t="s">
        <v>93</v>
      </c>
      <c r="D132" s="2" t="n">
        <v>1</v>
      </c>
      <c r="E132" s="10" t="n">
        <v>0.220216869223492</v>
      </c>
      <c r="F132" s="10" t="n">
        <v>1</v>
      </c>
    </row>
    <row r="133" customFormat="false" ht="15" hidden="false" customHeight="false" outlineLevel="0" collapsed="false">
      <c r="A133" s="2" t="s">
        <v>50</v>
      </c>
      <c r="B133" s="2" t="n">
        <v>5</v>
      </c>
      <c r="C133" s="2" t="s">
        <v>94</v>
      </c>
      <c r="D133" s="2" t="n">
        <v>2</v>
      </c>
      <c r="E133" s="10" t="n">
        <v>0.0009834478655198</v>
      </c>
      <c r="F133" s="10" t="n">
        <v>0.5</v>
      </c>
    </row>
    <row r="134" customFormat="false" ht="15" hidden="false" customHeight="false" outlineLevel="0" collapsed="false">
      <c r="A134" s="2" t="s">
        <v>50</v>
      </c>
      <c r="B134" s="2" t="n">
        <v>5</v>
      </c>
      <c r="C134" s="2" t="s">
        <v>95</v>
      </c>
      <c r="D134" s="2" t="n">
        <v>1</v>
      </c>
      <c r="E134" s="10" t="n">
        <v>-0.0196267077159901</v>
      </c>
      <c r="F134" s="10" t="n">
        <v>0</v>
      </c>
    </row>
    <row r="135" customFormat="false" ht="15" hidden="false" customHeight="false" outlineLevel="0" collapsed="false">
      <c r="A135" s="2" t="s">
        <v>50</v>
      </c>
      <c r="B135" s="2" t="n">
        <v>5</v>
      </c>
      <c r="C135" s="2" t="s">
        <v>96</v>
      </c>
      <c r="D135" s="2" t="n">
        <v>3</v>
      </c>
      <c r="E135" s="10" t="n">
        <v>0.00303701243026393</v>
      </c>
      <c r="F135" s="10" t="n">
        <v>0.333333333333333</v>
      </c>
    </row>
    <row r="136" customFormat="false" ht="15" hidden="false" customHeight="false" outlineLevel="0" collapsed="false">
      <c r="A136" s="2" t="s">
        <v>50</v>
      </c>
      <c r="B136" s="2" t="n">
        <v>5</v>
      </c>
      <c r="C136" s="2" t="s">
        <v>97</v>
      </c>
      <c r="D136" s="2" t="n">
        <v>2</v>
      </c>
      <c r="E136" s="10" t="n">
        <v>-0.103515136217326</v>
      </c>
      <c r="F136" s="10" t="n">
        <v>0</v>
      </c>
    </row>
    <row r="137" customFormat="false" ht="15" hidden="false" customHeight="false" outlineLevel="0" collapsed="false">
      <c r="A137" s="2" t="s">
        <v>50</v>
      </c>
      <c r="B137" s="2" t="n">
        <v>5</v>
      </c>
      <c r="C137" s="2" t="s">
        <v>103</v>
      </c>
      <c r="D137" s="2" t="n">
        <v>1</v>
      </c>
      <c r="E137" s="10" t="n">
        <v>-0.134320175438596</v>
      </c>
      <c r="F137" s="10" t="n">
        <v>0</v>
      </c>
    </row>
    <row r="138" customFormat="false" ht="15" hidden="false" customHeight="false" outlineLevel="0" collapsed="false">
      <c r="A138" s="2" t="s">
        <v>50</v>
      </c>
      <c r="B138" s="2" t="n">
        <v>5</v>
      </c>
      <c r="C138" s="2" t="s">
        <v>98</v>
      </c>
      <c r="D138" s="2" t="n">
        <v>2</v>
      </c>
      <c r="E138" s="10" t="n">
        <v>-0.0482450201255475</v>
      </c>
      <c r="F138" s="10" t="n">
        <v>0</v>
      </c>
    </row>
    <row r="139" customFormat="false" ht="15" hidden="false" customHeight="false" outlineLevel="0" collapsed="false">
      <c r="A139" s="2" t="s">
        <v>50</v>
      </c>
      <c r="B139" s="2" t="n">
        <v>5</v>
      </c>
      <c r="C139" s="2" t="s">
        <v>99</v>
      </c>
      <c r="D139" s="2" t="n">
        <v>2</v>
      </c>
      <c r="E139" s="10" t="n">
        <v>-0.0377220167757692</v>
      </c>
      <c r="F139" s="10" t="n">
        <v>0.5</v>
      </c>
    </row>
    <row r="140" customFormat="false" ht="15" hidden="false" customHeight="false" outlineLevel="0" collapsed="false">
      <c r="A140" s="2" t="s">
        <v>50</v>
      </c>
      <c r="B140" s="2" t="n">
        <v>10</v>
      </c>
      <c r="C140" s="2" t="s">
        <v>65</v>
      </c>
      <c r="D140" s="2" t="n">
        <v>1</v>
      </c>
      <c r="E140" s="10" t="n">
        <v>0.0104268491365264</v>
      </c>
      <c r="F140" s="10" t="n">
        <v>1</v>
      </c>
    </row>
    <row r="141" customFormat="false" ht="15" hidden="false" customHeight="false" outlineLevel="0" collapsed="false">
      <c r="A141" s="2" t="s">
        <v>50</v>
      </c>
      <c r="B141" s="2" t="n">
        <v>10</v>
      </c>
      <c r="C141" s="2" t="s">
        <v>66</v>
      </c>
      <c r="D141" s="2" t="n">
        <v>3</v>
      </c>
      <c r="E141" s="10" t="n">
        <v>-0.0377428465410527</v>
      </c>
      <c r="F141" s="10" t="n">
        <v>0.333333333333333</v>
      </c>
    </row>
    <row r="142" customFormat="false" ht="15" hidden="false" customHeight="false" outlineLevel="0" collapsed="false">
      <c r="A142" s="2" t="s">
        <v>50</v>
      </c>
      <c r="B142" s="2" t="n">
        <v>10</v>
      </c>
      <c r="C142" s="2" t="s">
        <v>67</v>
      </c>
      <c r="D142" s="2" t="n">
        <v>1</v>
      </c>
      <c r="E142" s="10" t="n">
        <v>-0.0656565656565657</v>
      </c>
      <c r="F142" s="10" t="n">
        <v>0</v>
      </c>
    </row>
    <row r="143" customFormat="false" ht="15" hidden="false" customHeight="false" outlineLevel="0" collapsed="false">
      <c r="A143" s="2" t="s">
        <v>50</v>
      </c>
      <c r="B143" s="2" t="n">
        <v>10</v>
      </c>
      <c r="C143" s="2" t="s">
        <v>101</v>
      </c>
      <c r="D143" s="2" t="n">
        <v>1</v>
      </c>
      <c r="E143" s="10" t="n">
        <v>0.134920634920635</v>
      </c>
      <c r="F143" s="10" t="n">
        <v>1</v>
      </c>
    </row>
    <row r="144" customFormat="false" ht="15" hidden="false" customHeight="false" outlineLevel="0" collapsed="false">
      <c r="A144" s="2" t="s">
        <v>50</v>
      </c>
      <c r="B144" s="2" t="n">
        <v>10</v>
      </c>
      <c r="C144" s="2" t="s">
        <v>70</v>
      </c>
      <c r="D144" s="2" t="n">
        <v>3</v>
      </c>
      <c r="E144" s="10" t="n">
        <v>0.0112024889781881</v>
      </c>
      <c r="F144" s="10" t="n">
        <v>0.333333333333333</v>
      </c>
    </row>
    <row r="145" customFormat="false" ht="15" hidden="false" customHeight="false" outlineLevel="0" collapsed="false">
      <c r="A145" s="2" t="s">
        <v>50</v>
      </c>
      <c r="B145" s="2" t="n">
        <v>10</v>
      </c>
      <c r="C145" s="2" t="s">
        <v>71</v>
      </c>
      <c r="D145" s="2" t="n">
        <v>4</v>
      </c>
      <c r="E145" s="10" t="n">
        <v>0.0541724501412988</v>
      </c>
      <c r="F145" s="10" t="n">
        <v>0.75</v>
      </c>
    </row>
    <row r="146" customFormat="false" ht="15" hidden="false" customHeight="false" outlineLevel="0" collapsed="false">
      <c r="A146" s="2" t="s">
        <v>50</v>
      </c>
      <c r="B146" s="2" t="n">
        <v>10</v>
      </c>
      <c r="C146" s="2" t="s">
        <v>72</v>
      </c>
      <c r="D146" s="2" t="n">
        <v>1</v>
      </c>
      <c r="E146" s="10" t="n">
        <v>-0.025071310614022</v>
      </c>
      <c r="F146" s="10" t="n">
        <v>0</v>
      </c>
    </row>
    <row r="147" customFormat="false" ht="15" hidden="false" customHeight="false" outlineLevel="0" collapsed="false">
      <c r="A147" s="2" t="s">
        <v>50</v>
      </c>
      <c r="B147" s="2" t="n">
        <v>10</v>
      </c>
      <c r="C147" s="2" t="s">
        <v>73</v>
      </c>
      <c r="D147" s="2" t="n">
        <v>6</v>
      </c>
      <c r="E147" s="10" t="n">
        <v>-0.0217104544155068</v>
      </c>
      <c r="F147" s="10" t="n">
        <v>0.333333333333333</v>
      </c>
    </row>
    <row r="148" customFormat="false" ht="15" hidden="false" customHeight="false" outlineLevel="0" collapsed="false">
      <c r="A148" s="2" t="s">
        <v>50</v>
      </c>
      <c r="B148" s="2" t="n">
        <v>10</v>
      </c>
      <c r="C148" s="2" t="s">
        <v>75</v>
      </c>
      <c r="D148" s="2" t="n">
        <v>1</v>
      </c>
      <c r="E148" s="10" t="n">
        <v>-0.0555722439170922</v>
      </c>
      <c r="F148" s="10" t="n">
        <v>0</v>
      </c>
    </row>
    <row r="149" customFormat="false" ht="15" hidden="false" customHeight="false" outlineLevel="0" collapsed="false">
      <c r="A149" s="2" t="s">
        <v>50</v>
      </c>
      <c r="B149" s="2" t="n">
        <v>10</v>
      </c>
      <c r="C149" s="2" t="s">
        <v>76</v>
      </c>
      <c r="D149" s="2" t="n">
        <v>1</v>
      </c>
      <c r="E149" s="10" t="n">
        <v>-0.06645056726094</v>
      </c>
      <c r="F149" s="10" t="n">
        <v>0</v>
      </c>
    </row>
    <row r="150" customFormat="false" ht="15" hidden="false" customHeight="false" outlineLevel="0" collapsed="false">
      <c r="A150" s="2" t="s">
        <v>50</v>
      </c>
      <c r="B150" s="2" t="n">
        <v>10</v>
      </c>
      <c r="C150" s="2" t="s">
        <v>77</v>
      </c>
      <c r="D150" s="2" t="n">
        <v>1</v>
      </c>
      <c r="E150" s="10" t="n">
        <v>-0.0015573089700996</v>
      </c>
      <c r="F150" s="10" t="n">
        <v>0</v>
      </c>
    </row>
    <row r="151" customFormat="false" ht="15" hidden="false" customHeight="false" outlineLevel="0" collapsed="false">
      <c r="A151" s="2" t="s">
        <v>50</v>
      </c>
      <c r="B151" s="2" t="n">
        <v>10</v>
      </c>
      <c r="C151" s="2" t="s">
        <v>79</v>
      </c>
      <c r="D151" s="2" t="n">
        <v>3</v>
      </c>
      <c r="E151" s="10" t="n">
        <v>0.0948418803515965</v>
      </c>
      <c r="F151" s="10" t="n">
        <v>0.666666666666667</v>
      </c>
    </row>
    <row r="152" customFormat="false" ht="15" hidden="false" customHeight="false" outlineLevel="0" collapsed="false">
      <c r="A152" s="2" t="s">
        <v>50</v>
      </c>
      <c r="B152" s="2" t="n">
        <v>10</v>
      </c>
      <c r="C152" s="2" t="s">
        <v>80</v>
      </c>
      <c r="D152" s="2" t="n">
        <v>5</v>
      </c>
      <c r="E152" s="10" t="n">
        <v>0.012931455310651</v>
      </c>
      <c r="F152" s="10" t="n">
        <v>0.4</v>
      </c>
    </row>
    <row r="153" customFormat="false" ht="15" hidden="false" customHeight="false" outlineLevel="0" collapsed="false">
      <c r="A153" s="2" t="s">
        <v>50</v>
      </c>
      <c r="B153" s="2" t="n">
        <v>10</v>
      </c>
      <c r="C153" s="2" t="s">
        <v>102</v>
      </c>
      <c r="D153" s="2" t="n">
        <v>1</v>
      </c>
      <c r="E153" s="10" t="n">
        <v>-0.0440003449316604</v>
      </c>
      <c r="F153" s="10" t="n">
        <v>0</v>
      </c>
    </row>
    <row r="154" customFormat="false" ht="15" hidden="false" customHeight="false" outlineLevel="0" collapsed="false">
      <c r="A154" s="2" t="s">
        <v>50</v>
      </c>
      <c r="B154" s="2" t="n">
        <v>10</v>
      </c>
      <c r="C154" s="2" t="s">
        <v>82</v>
      </c>
      <c r="D154" s="2" t="n">
        <v>1</v>
      </c>
      <c r="E154" s="10" t="n">
        <v>-0.0878833208676139</v>
      </c>
      <c r="F154" s="10" t="n">
        <v>0</v>
      </c>
    </row>
    <row r="155" customFormat="false" ht="15" hidden="false" customHeight="false" outlineLevel="0" collapsed="false">
      <c r="A155" s="2" t="s">
        <v>50</v>
      </c>
      <c r="B155" s="2" t="n">
        <v>10</v>
      </c>
      <c r="C155" s="2" t="s">
        <v>84</v>
      </c>
      <c r="D155" s="2" t="n">
        <v>1</v>
      </c>
      <c r="E155" s="10" t="n">
        <v>-0.0057446502944132</v>
      </c>
      <c r="F155" s="10" t="n">
        <v>0</v>
      </c>
    </row>
    <row r="156" customFormat="false" ht="15" hidden="false" customHeight="false" outlineLevel="0" collapsed="false">
      <c r="A156" s="2" t="s">
        <v>50</v>
      </c>
      <c r="B156" s="2" t="n">
        <v>10</v>
      </c>
      <c r="C156" s="2" t="s">
        <v>85</v>
      </c>
      <c r="D156" s="2" t="n">
        <v>2</v>
      </c>
      <c r="E156" s="10" t="n">
        <v>-0.0183628687727478</v>
      </c>
      <c r="F156" s="10" t="n">
        <v>0.5</v>
      </c>
    </row>
    <row r="157" customFormat="false" ht="15" hidden="false" customHeight="false" outlineLevel="0" collapsed="false">
      <c r="A157" s="2" t="s">
        <v>50</v>
      </c>
      <c r="B157" s="2" t="n">
        <v>10</v>
      </c>
      <c r="C157" s="2" t="s">
        <v>86</v>
      </c>
      <c r="D157" s="2" t="n">
        <v>1</v>
      </c>
      <c r="E157" s="10" t="n">
        <v>-0.0223918575063613</v>
      </c>
      <c r="F157" s="10" t="n">
        <v>0</v>
      </c>
    </row>
    <row r="158" customFormat="false" ht="15" hidden="false" customHeight="false" outlineLevel="0" collapsed="false">
      <c r="A158" s="2" t="s">
        <v>50</v>
      </c>
      <c r="B158" s="2" t="n">
        <v>10</v>
      </c>
      <c r="C158" s="2" t="s">
        <v>89</v>
      </c>
      <c r="D158" s="2" t="n">
        <v>1</v>
      </c>
      <c r="E158" s="10" t="n">
        <v>-0.169159256265158</v>
      </c>
      <c r="F158" s="10" t="n">
        <v>0</v>
      </c>
    </row>
    <row r="159" customFormat="false" ht="15" hidden="false" customHeight="false" outlineLevel="0" collapsed="false">
      <c r="A159" s="2" t="s">
        <v>50</v>
      </c>
      <c r="B159" s="2" t="n">
        <v>10</v>
      </c>
      <c r="C159" s="2" t="s">
        <v>90</v>
      </c>
      <c r="D159" s="2" t="n">
        <v>1</v>
      </c>
      <c r="E159" s="10" t="n">
        <v>-0.0523809523809523</v>
      </c>
      <c r="F159" s="10" t="n">
        <v>0</v>
      </c>
    </row>
    <row r="160" customFormat="false" ht="15" hidden="false" customHeight="false" outlineLevel="0" collapsed="false">
      <c r="A160" s="2" t="s">
        <v>50</v>
      </c>
      <c r="B160" s="2" t="n">
        <v>10</v>
      </c>
      <c r="C160" s="2" t="s">
        <v>91</v>
      </c>
      <c r="D160" s="2" t="n">
        <v>2</v>
      </c>
      <c r="E160" s="10" t="n">
        <v>-0.0128052777783128</v>
      </c>
      <c r="F160" s="10" t="n">
        <v>0.5</v>
      </c>
    </row>
    <row r="161" customFormat="false" ht="15" hidden="false" customHeight="false" outlineLevel="0" collapsed="false">
      <c r="A161" s="2" t="s">
        <v>50</v>
      </c>
      <c r="B161" s="2" t="n">
        <v>10</v>
      </c>
      <c r="C161" s="2" t="s">
        <v>92</v>
      </c>
      <c r="D161" s="2" t="n">
        <v>1</v>
      </c>
      <c r="E161" s="10" t="n">
        <v>0.0782505020080321</v>
      </c>
      <c r="F161" s="10" t="n">
        <v>1</v>
      </c>
    </row>
    <row r="162" customFormat="false" ht="15" hidden="false" customHeight="false" outlineLevel="0" collapsed="false">
      <c r="A162" s="2" t="s">
        <v>50</v>
      </c>
      <c r="B162" s="2" t="n">
        <v>10</v>
      </c>
      <c r="C162" s="2" t="s">
        <v>93</v>
      </c>
      <c r="D162" s="2" t="n">
        <v>1</v>
      </c>
      <c r="E162" s="10" t="n">
        <v>0.354777672658467</v>
      </c>
      <c r="F162" s="10" t="n">
        <v>1</v>
      </c>
    </row>
    <row r="163" customFormat="false" ht="15" hidden="false" customHeight="false" outlineLevel="0" collapsed="false">
      <c r="A163" s="2" t="s">
        <v>50</v>
      </c>
      <c r="B163" s="2" t="n">
        <v>10</v>
      </c>
      <c r="C163" s="2" t="s">
        <v>94</v>
      </c>
      <c r="D163" s="2" t="n">
        <v>2</v>
      </c>
      <c r="E163" s="10" t="n">
        <v>-0.05826519888627</v>
      </c>
      <c r="F163" s="10" t="n">
        <v>0</v>
      </c>
    </row>
    <row r="164" customFormat="false" ht="15" hidden="false" customHeight="false" outlineLevel="0" collapsed="false">
      <c r="A164" s="2" t="s">
        <v>50</v>
      </c>
      <c r="B164" s="2" t="n">
        <v>10</v>
      </c>
      <c r="C164" s="2" t="s">
        <v>95</v>
      </c>
      <c r="D164" s="2" t="n">
        <v>1</v>
      </c>
      <c r="E164" s="10" t="n">
        <v>-0.141042909370791</v>
      </c>
      <c r="F164" s="10" t="n">
        <v>0</v>
      </c>
    </row>
    <row r="165" customFormat="false" ht="15" hidden="false" customHeight="false" outlineLevel="0" collapsed="false">
      <c r="A165" s="2" t="s">
        <v>50</v>
      </c>
      <c r="B165" s="2" t="n">
        <v>10</v>
      </c>
      <c r="C165" s="2" t="s">
        <v>96</v>
      </c>
      <c r="D165" s="2" t="n">
        <v>3</v>
      </c>
      <c r="E165" s="10" t="n">
        <v>0.0257407639917014</v>
      </c>
      <c r="F165" s="10" t="n">
        <v>0.666666666666667</v>
      </c>
    </row>
    <row r="166" customFormat="false" ht="15" hidden="false" customHeight="false" outlineLevel="0" collapsed="false">
      <c r="A166" s="2" t="s">
        <v>50</v>
      </c>
      <c r="B166" s="2" t="n">
        <v>10</v>
      </c>
      <c r="C166" s="2" t="s">
        <v>97</v>
      </c>
      <c r="D166" s="2" t="n">
        <v>2</v>
      </c>
      <c r="E166" s="10" t="n">
        <v>-0.11520115463277</v>
      </c>
      <c r="F166" s="10" t="n">
        <v>0</v>
      </c>
    </row>
    <row r="167" customFormat="false" ht="15" hidden="false" customHeight="false" outlineLevel="0" collapsed="false">
      <c r="A167" s="2" t="s">
        <v>50</v>
      </c>
      <c r="B167" s="2" t="n">
        <v>10</v>
      </c>
      <c r="C167" s="2" t="s">
        <v>103</v>
      </c>
      <c r="D167" s="2" t="n">
        <v>1</v>
      </c>
      <c r="E167" s="10" t="n">
        <v>-0.172149122807018</v>
      </c>
      <c r="F167" s="10" t="n">
        <v>0</v>
      </c>
    </row>
    <row r="168" customFormat="false" ht="15" hidden="false" customHeight="false" outlineLevel="0" collapsed="false">
      <c r="A168" s="2" t="s">
        <v>50</v>
      </c>
      <c r="B168" s="2" t="n">
        <v>10</v>
      </c>
      <c r="C168" s="2" t="s">
        <v>98</v>
      </c>
      <c r="D168" s="2" t="n">
        <v>2</v>
      </c>
      <c r="E168" s="10" t="n">
        <v>0.164421349707144</v>
      </c>
      <c r="F168" s="10" t="n">
        <v>1</v>
      </c>
    </row>
    <row r="169" customFormat="false" ht="15" hidden="false" customHeight="false" outlineLevel="0" collapsed="false">
      <c r="A169" s="2" t="s">
        <v>50</v>
      </c>
      <c r="B169" s="2" t="n">
        <v>10</v>
      </c>
      <c r="C169" s="2" t="s">
        <v>99</v>
      </c>
      <c r="D169" s="2" t="n">
        <v>2</v>
      </c>
      <c r="E169" s="10" t="n">
        <v>0.0011804566257544</v>
      </c>
      <c r="F169" s="10" t="n">
        <v>0.5</v>
      </c>
    </row>
    <row r="170" customFormat="false" ht="15" hidden="false" customHeight="false" outlineLevel="0" collapsed="false">
      <c r="A170" s="2" t="s">
        <v>50</v>
      </c>
      <c r="B170" s="2" t="n">
        <v>20</v>
      </c>
      <c r="C170" s="2" t="s">
        <v>65</v>
      </c>
      <c r="D170" s="2" t="n">
        <v>1</v>
      </c>
      <c r="E170" s="10" t="n">
        <v>-0.0181655262300424</v>
      </c>
      <c r="F170" s="10" t="n">
        <v>0</v>
      </c>
    </row>
    <row r="171" customFormat="false" ht="15" hidden="false" customHeight="false" outlineLevel="0" collapsed="false">
      <c r="A171" s="2" t="s">
        <v>50</v>
      </c>
      <c r="B171" s="2" t="n">
        <v>20</v>
      </c>
      <c r="C171" s="2" t="s">
        <v>66</v>
      </c>
      <c r="D171" s="2" t="n">
        <v>3</v>
      </c>
      <c r="E171" s="10" t="n">
        <v>0.026474479432973</v>
      </c>
      <c r="F171" s="10" t="n">
        <v>0.666666666666667</v>
      </c>
    </row>
    <row r="172" customFormat="false" ht="15" hidden="false" customHeight="false" outlineLevel="0" collapsed="false">
      <c r="A172" s="2" t="s">
        <v>50</v>
      </c>
      <c r="B172" s="2" t="n">
        <v>20</v>
      </c>
      <c r="C172" s="2" t="s">
        <v>67</v>
      </c>
      <c r="D172" s="2" t="n">
        <v>1</v>
      </c>
      <c r="E172" s="10" t="n">
        <v>-0.0173831336622034</v>
      </c>
      <c r="F172" s="10" t="n">
        <v>0</v>
      </c>
    </row>
    <row r="173" customFormat="false" ht="15" hidden="false" customHeight="false" outlineLevel="0" collapsed="false">
      <c r="A173" s="2" t="s">
        <v>50</v>
      </c>
      <c r="B173" s="2" t="n">
        <v>20</v>
      </c>
      <c r="C173" s="2" t="s">
        <v>101</v>
      </c>
      <c r="D173" s="2" t="n">
        <v>1</v>
      </c>
      <c r="E173" s="10" t="n">
        <v>0.0071154898741105</v>
      </c>
      <c r="F173" s="10" t="n">
        <v>1</v>
      </c>
    </row>
    <row r="174" customFormat="false" ht="15" hidden="false" customHeight="false" outlineLevel="0" collapsed="false">
      <c r="A174" s="2" t="s">
        <v>50</v>
      </c>
      <c r="B174" s="2" t="n">
        <v>20</v>
      </c>
      <c r="C174" s="2" t="s">
        <v>70</v>
      </c>
      <c r="D174" s="2" t="n">
        <v>3</v>
      </c>
      <c r="E174" s="10" t="n">
        <v>-0.0041141333093435</v>
      </c>
      <c r="F174" s="10" t="n">
        <v>0.666666666666667</v>
      </c>
    </row>
    <row r="175" customFormat="false" ht="15" hidden="false" customHeight="false" outlineLevel="0" collapsed="false">
      <c r="A175" s="2" t="s">
        <v>50</v>
      </c>
      <c r="B175" s="2" t="n">
        <v>20</v>
      </c>
      <c r="C175" s="2" t="s">
        <v>71</v>
      </c>
      <c r="D175" s="2" t="n">
        <v>4</v>
      </c>
      <c r="E175" s="10" t="n">
        <v>0.0350638100276514</v>
      </c>
      <c r="F175" s="10" t="n">
        <v>0.75</v>
      </c>
    </row>
    <row r="176" customFormat="false" ht="15" hidden="false" customHeight="false" outlineLevel="0" collapsed="false">
      <c r="A176" s="2" t="s">
        <v>50</v>
      </c>
      <c r="B176" s="2" t="n">
        <v>20</v>
      </c>
      <c r="C176" s="2" t="s">
        <v>72</v>
      </c>
      <c r="D176" s="2" t="n">
        <v>1</v>
      </c>
      <c r="E176" s="10" t="n">
        <v>0.0127608467197117</v>
      </c>
      <c r="F176" s="10" t="n">
        <v>1</v>
      </c>
    </row>
    <row r="177" customFormat="false" ht="15" hidden="false" customHeight="false" outlineLevel="0" collapsed="false">
      <c r="A177" s="2" t="s">
        <v>50</v>
      </c>
      <c r="B177" s="2" t="n">
        <v>20</v>
      </c>
      <c r="C177" s="2" t="s">
        <v>73</v>
      </c>
      <c r="D177" s="2" t="n">
        <v>6</v>
      </c>
      <c r="E177" s="10" t="n">
        <v>-0.0256496691247915</v>
      </c>
      <c r="F177" s="10" t="n">
        <v>0.5</v>
      </c>
    </row>
    <row r="178" customFormat="false" ht="15" hidden="false" customHeight="false" outlineLevel="0" collapsed="false">
      <c r="A178" s="2" t="s">
        <v>50</v>
      </c>
      <c r="B178" s="2" t="n">
        <v>20</v>
      </c>
      <c r="C178" s="2" t="s">
        <v>75</v>
      </c>
      <c r="D178" s="2" t="n">
        <v>1</v>
      </c>
      <c r="E178" s="10" t="n">
        <v>-0.131571042355062</v>
      </c>
      <c r="F178" s="10" t="n">
        <v>0</v>
      </c>
    </row>
    <row r="179" customFormat="false" ht="15" hidden="false" customHeight="false" outlineLevel="0" collapsed="false">
      <c r="A179" s="2" t="s">
        <v>50</v>
      </c>
      <c r="B179" s="2" t="n">
        <v>20</v>
      </c>
      <c r="C179" s="2" t="s">
        <v>76</v>
      </c>
      <c r="D179" s="2" t="n">
        <v>1</v>
      </c>
      <c r="E179" s="10" t="n">
        <v>-0.0034730261634636</v>
      </c>
      <c r="F179" s="10" t="n">
        <v>0</v>
      </c>
    </row>
    <row r="180" customFormat="false" ht="15" hidden="false" customHeight="false" outlineLevel="0" collapsed="false">
      <c r="A180" s="2" t="s">
        <v>50</v>
      </c>
      <c r="B180" s="2" t="n">
        <v>20</v>
      </c>
      <c r="C180" s="2" t="s">
        <v>77</v>
      </c>
      <c r="D180" s="2" t="n">
        <v>1</v>
      </c>
      <c r="E180" s="10" t="n">
        <v>0.387666112956811</v>
      </c>
      <c r="F180" s="10" t="n">
        <v>1</v>
      </c>
    </row>
    <row r="181" customFormat="false" ht="15" hidden="false" customHeight="false" outlineLevel="0" collapsed="false">
      <c r="A181" s="2" t="s">
        <v>50</v>
      </c>
      <c r="B181" s="2" t="n">
        <v>20</v>
      </c>
      <c r="C181" s="2" t="s">
        <v>79</v>
      </c>
      <c r="D181" s="2" t="n">
        <v>3</v>
      </c>
      <c r="E181" s="10" t="n">
        <v>0.133381625494708</v>
      </c>
      <c r="F181" s="10" t="n">
        <v>0.333333333333333</v>
      </c>
    </row>
    <row r="182" customFormat="false" ht="15" hidden="false" customHeight="false" outlineLevel="0" collapsed="false">
      <c r="A182" s="2" t="s">
        <v>50</v>
      </c>
      <c r="B182" s="2" t="n">
        <v>20</v>
      </c>
      <c r="C182" s="2" t="s">
        <v>80</v>
      </c>
      <c r="D182" s="2" t="n">
        <v>5</v>
      </c>
      <c r="E182" s="10" t="n">
        <v>0.0419657409995175</v>
      </c>
      <c r="F182" s="10" t="n">
        <v>0.4</v>
      </c>
    </row>
    <row r="183" customFormat="false" ht="15" hidden="false" customHeight="false" outlineLevel="0" collapsed="false">
      <c r="A183" s="2" t="s">
        <v>50</v>
      </c>
      <c r="B183" s="2" t="n">
        <v>20</v>
      </c>
      <c r="C183" s="2" t="s">
        <v>102</v>
      </c>
      <c r="D183" s="2" t="n">
        <v>1</v>
      </c>
      <c r="E183" s="10" t="n">
        <v>-0.119863751994136</v>
      </c>
      <c r="F183" s="10" t="n">
        <v>0</v>
      </c>
    </row>
    <row r="184" customFormat="false" ht="15" hidden="false" customHeight="false" outlineLevel="0" collapsed="false">
      <c r="A184" s="2" t="s">
        <v>50</v>
      </c>
      <c r="B184" s="2" t="n">
        <v>20</v>
      </c>
      <c r="C184" s="2" t="s">
        <v>82</v>
      </c>
      <c r="D184" s="2" t="n">
        <v>1</v>
      </c>
      <c r="E184" s="10" t="n">
        <v>-0.138743455497382</v>
      </c>
      <c r="F184" s="10" t="n">
        <v>0</v>
      </c>
    </row>
    <row r="185" customFormat="false" ht="15" hidden="false" customHeight="false" outlineLevel="0" collapsed="false">
      <c r="A185" s="2" t="s">
        <v>50</v>
      </c>
      <c r="B185" s="2" t="n">
        <v>20</v>
      </c>
      <c r="C185" s="2" t="s">
        <v>85</v>
      </c>
      <c r="D185" s="2" t="n">
        <v>2</v>
      </c>
      <c r="E185" s="10" t="n">
        <v>0.0620016984122833</v>
      </c>
      <c r="F185" s="10" t="n">
        <v>0.5</v>
      </c>
    </row>
    <row r="186" customFormat="false" ht="15" hidden="false" customHeight="false" outlineLevel="0" collapsed="false">
      <c r="A186" s="2" t="s">
        <v>50</v>
      </c>
      <c r="B186" s="2" t="n">
        <v>20</v>
      </c>
      <c r="C186" s="2" t="s">
        <v>86</v>
      </c>
      <c r="D186" s="2" t="n">
        <v>1</v>
      </c>
      <c r="E186" s="10" t="n">
        <v>0.242239185750636</v>
      </c>
      <c r="F186" s="10" t="n">
        <v>1</v>
      </c>
    </row>
    <row r="187" customFormat="false" ht="15" hidden="false" customHeight="false" outlineLevel="0" collapsed="false">
      <c r="A187" s="2" t="s">
        <v>50</v>
      </c>
      <c r="B187" s="2" t="n">
        <v>20</v>
      </c>
      <c r="C187" s="2" t="s">
        <v>89</v>
      </c>
      <c r="D187" s="2" t="n">
        <v>1</v>
      </c>
      <c r="E187" s="10" t="n">
        <v>-0.177849636216653</v>
      </c>
      <c r="F187" s="10" t="n">
        <v>0</v>
      </c>
    </row>
    <row r="188" customFormat="false" ht="15" hidden="false" customHeight="false" outlineLevel="0" collapsed="false">
      <c r="A188" s="2" t="s">
        <v>50</v>
      </c>
      <c r="B188" s="2" t="n">
        <v>20</v>
      </c>
      <c r="C188" s="2" t="s">
        <v>90</v>
      </c>
      <c r="D188" s="2" t="n">
        <v>1</v>
      </c>
      <c r="E188" s="10" t="n">
        <v>0.03015873015873</v>
      </c>
      <c r="F188" s="10" t="n">
        <v>1</v>
      </c>
    </row>
    <row r="189" customFormat="false" ht="15" hidden="false" customHeight="false" outlineLevel="0" collapsed="false">
      <c r="A189" s="2" t="s">
        <v>50</v>
      </c>
      <c r="B189" s="2" t="n">
        <v>20</v>
      </c>
      <c r="C189" s="2" t="s">
        <v>91</v>
      </c>
      <c r="D189" s="2" t="n">
        <v>2</v>
      </c>
      <c r="E189" s="10" t="n">
        <v>-0.0744531418377412</v>
      </c>
      <c r="F189" s="10" t="n">
        <v>0</v>
      </c>
    </row>
    <row r="190" customFormat="false" ht="15" hidden="false" customHeight="false" outlineLevel="0" collapsed="false">
      <c r="A190" s="2" t="s">
        <v>50</v>
      </c>
      <c r="B190" s="2" t="n">
        <v>20</v>
      </c>
      <c r="C190" s="2" t="s">
        <v>92</v>
      </c>
      <c r="D190" s="2" t="n">
        <v>1</v>
      </c>
      <c r="E190" s="10" t="n">
        <v>-0.131902610441767</v>
      </c>
      <c r="F190" s="10" t="n">
        <v>0</v>
      </c>
    </row>
    <row r="191" customFormat="false" ht="15" hidden="false" customHeight="false" outlineLevel="0" collapsed="false">
      <c r="A191" s="2" t="s">
        <v>50</v>
      </c>
      <c r="B191" s="2" t="n">
        <v>20</v>
      </c>
      <c r="C191" s="2" t="s">
        <v>93</v>
      </c>
      <c r="D191" s="2" t="n">
        <v>1</v>
      </c>
      <c r="E191" s="10" t="n">
        <v>0.268721344880285</v>
      </c>
      <c r="F191" s="10" t="n">
        <v>1</v>
      </c>
    </row>
    <row r="192" customFormat="false" ht="15" hidden="false" customHeight="false" outlineLevel="0" collapsed="false">
      <c r="A192" s="2" t="s">
        <v>50</v>
      </c>
      <c r="B192" s="2" t="n">
        <v>20</v>
      </c>
      <c r="C192" s="2" t="s">
        <v>94</v>
      </c>
      <c r="D192" s="2" t="n">
        <v>2</v>
      </c>
      <c r="E192" s="10" t="n">
        <v>0.0420490162758204</v>
      </c>
      <c r="F192" s="10" t="n">
        <v>0.5</v>
      </c>
    </row>
    <row r="193" customFormat="false" ht="15" hidden="false" customHeight="false" outlineLevel="0" collapsed="false">
      <c r="A193" s="2" t="s">
        <v>50</v>
      </c>
      <c r="B193" s="2" t="n">
        <v>20</v>
      </c>
      <c r="C193" s="2" t="s">
        <v>95</v>
      </c>
      <c r="D193" s="2" t="n">
        <v>1</v>
      </c>
      <c r="E193" s="10" t="n">
        <v>0.0200115451221858</v>
      </c>
      <c r="F193" s="10" t="n">
        <v>1</v>
      </c>
    </row>
    <row r="194" customFormat="false" ht="15" hidden="false" customHeight="false" outlineLevel="0" collapsed="false">
      <c r="A194" s="2" t="s">
        <v>50</v>
      </c>
      <c r="B194" s="2" t="n">
        <v>20</v>
      </c>
      <c r="C194" s="2" t="s">
        <v>96</v>
      </c>
      <c r="D194" s="2" t="n">
        <v>3</v>
      </c>
      <c r="E194" s="10" t="n">
        <v>0.0464783166585978</v>
      </c>
      <c r="F194" s="10" t="n">
        <v>0.666666666666667</v>
      </c>
    </row>
    <row r="195" customFormat="false" ht="15" hidden="false" customHeight="false" outlineLevel="0" collapsed="false">
      <c r="A195" s="2" t="s">
        <v>50</v>
      </c>
      <c r="B195" s="2" t="n">
        <v>20</v>
      </c>
      <c r="C195" s="2" t="s">
        <v>97</v>
      </c>
      <c r="D195" s="2" t="n">
        <v>2</v>
      </c>
      <c r="E195" s="10" t="n">
        <v>-0.0900417238373849</v>
      </c>
      <c r="F195" s="10" t="n">
        <v>0</v>
      </c>
    </row>
    <row r="196" customFormat="false" ht="15" hidden="false" customHeight="false" outlineLevel="0" collapsed="false">
      <c r="A196" s="2" t="s">
        <v>50</v>
      </c>
      <c r="B196" s="2" t="n">
        <v>20</v>
      </c>
      <c r="C196" s="2" t="s">
        <v>103</v>
      </c>
      <c r="D196" s="2" t="n">
        <v>1</v>
      </c>
      <c r="E196" s="10" t="n">
        <v>-0.213815789473684</v>
      </c>
      <c r="F196" s="10" t="n">
        <v>0</v>
      </c>
    </row>
    <row r="197" customFormat="false" ht="15" hidden="false" customHeight="false" outlineLevel="0" collapsed="false">
      <c r="A197" s="2" t="s">
        <v>50</v>
      </c>
      <c r="B197" s="2" t="n">
        <v>20</v>
      </c>
      <c r="C197" s="2" t="s">
        <v>98</v>
      </c>
      <c r="D197" s="2" t="n">
        <v>1</v>
      </c>
      <c r="E197" s="10" t="n">
        <v>0.5263509006004</v>
      </c>
      <c r="F197" s="10" t="n">
        <v>1</v>
      </c>
    </row>
    <row r="198" customFormat="false" ht="15" hidden="false" customHeight="false" outlineLevel="0" collapsed="false">
      <c r="A198" s="2" t="s">
        <v>50</v>
      </c>
      <c r="B198" s="2" t="n">
        <v>20</v>
      </c>
      <c r="C198" s="2" t="s">
        <v>99</v>
      </c>
      <c r="D198" s="2" t="n">
        <v>2</v>
      </c>
      <c r="E198" s="10" t="n">
        <v>-0.0670134469388589</v>
      </c>
      <c r="F198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104</v>
      </c>
    </row>
    <row r="2" customFormat="false" ht="15" hidden="false" customHeight="false" outlineLevel="0" collapsed="false">
      <c r="A2" s="4" t="s">
        <v>105</v>
      </c>
    </row>
    <row r="3" customFormat="false" ht="15" hidden="false" customHeight="false" outlineLevel="0" collapsed="false">
      <c r="A3" s="11" t="s">
        <v>106</v>
      </c>
    </row>
    <row r="4" customFormat="false" ht="15" hidden="false" customHeight="false" outlineLevel="0" collapsed="false">
      <c r="A4" s="4" t="s">
        <v>65</v>
      </c>
      <c r="B4" s="4" t="n">
        <v>2133</v>
      </c>
    </row>
    <row r="5" customFormat="false" ht="15" hidden="false" customHeight="false" outlineLevel="0" collapsed="false">
      <c r="A5" s="4" t="s">
        <v>66</v>
      </c>
      <c r="B5" s="4" t="n">
        <v>2360</v>
      </c>
    </row>
    <row r="6" customFormat="false" ht="15" hidden="false" customHeight="false" outlineLevel="0" collapsed="false">
      <c r="A6" s="4" t="s">
        <v>67</v>
      </c>
      <c r="B6" s="4" t="n">
        <v>1672</v>
      </c>
    </row>
    <row r="7" customFormat="false" ht="15" hidden="false" customHeight="false" outlineLevel="0" collapsed="false">
      <c r="A7" s="4" t="s">
        <v>101</v>
      </c>
      <c r="B7" s="4" t="n">
        <v>1456</v>
      </c>
    </row>
    <row r="8" customFormat="false" ht="15" hidden="false" customHeight="false" outlineLevel="0" collapsed="false">
      <c r="A8" s="4" t="s">
        <v>68</v>
      </c>
      <c r="B8" s="4" t="n">
        <v>1301</v>
      </c>
    </row>
    <row r="9" customFormat="false" ht="15" hidden="false" customHeight="false" outlineLevel="0" collapsed="false">
      <c r="A9" s="4" t="s">
        <v>69</v>
      </c>
      <c r="B9" s="4" t="n">
        <v>2351</v>
      </c>
    </row>
    <row r="10" customFormat="false" ht="15" hidden="false" customHeight="false" outlineLevel="0" collapsed="false">
      <c r="A10" s="4" t="s">
        <v>70</v>
      </c>
      <c r="B10" s="4" t="n">
        <v>2211</v>
      </c>
    </row>
    <row r="11" customFormat="false" ht="15" hidden="false" customHeight="false" outlineLevel="0" collapsed="false">
      <c r="A11" s="4" t="s">
        <v>71</v>
      </c>
      <c r="B11" s="4" t="n">
        <v>2478</v>
      </c>
    </row>
    <row r="12" customFormat="false" ht="15" hidden="false" customHeight="false" outlineLevel="0" collapsed="false">
      <c r="A12" s="4" t="s">
        <v>107</v>
      </c>
      <c r="B12" s="4" t="n">
        <v>1770</v>
      </c>
    </row>
    <row r="13" customFormat="false" ht="15" hidden="false" customHeight="false" outlineLevel="0" collapsed="false">
      <c r="A13" s="4" t="s">
        <v>72</v>
      </c>
      <c r="B13" s="4" t="n">
        <v>1391</v>
      </c>
    </row>
    <row r="14" customFormat="false" ht="15" hidden="false" customHeight="false" outlineLevel="0" collapsed="false">
      <c r="A14" s="4" t="s">
        <v>73</v>
      </c>
      <c r="B14" s="4" t="n">
        <v>2478</v>
      </c>
    </row>
    <row r="15" customFormat="false" ht="15" hidden="false" customHeight="false" outlineLevel="0" collapsed="false">
      <c r="A15" s="4" t="s">
        <v>74</v>
      </c>
      <c r="B15" s="4" t="n">
        <v>2230</v>
      </c>
    </row>
    <row r="16" customFormat="false" ht="15" hidden="false" customHeight="false" outlineLevel="0" collapsed="false">
      <c r="A16" s="4" t="s">
        <v>75</v>
      </c>
      <c r="B16" s="4" t="n">
        <v>2286</v>
      </c>
    </row>
    <row r="17" customFormat="false" ht="15" hidden="false" customHeight="false" outlineLevel="0" collapsed="false">
      <c r="A17" s="4" t="s">
        <v>76</v>
      </c>
      <c r="B17" s="4" t="n">
        <v>2240</v>
      </c>
    </row>
    <row r="18" customFormat="false" ht="15" hidden="false" customHeight="false" outlineLevel="0" collapsed="false">
      <c r="A18" s="4" t="s">
        <v>77</v>
      </c>
      <c r="B18" s="4" t="n">
        <v>1862</v>
      </c>
    </row>
    <row r="19" customFormat="false" ht="15" hidden="false" customHeight="false" outlineLevel="0" collapsed="false">
      <c r="A19" s="4" t="s">
        <v>78</v>
      </c>
      <c r="B19" s="4" t="n">
        <v>392</v>
      </c>
    </row>
    <row r="20" customFormat="false" ht="15" hidden="false" customHeight="false" outlineLevel="0" collapsed="false">
      <c r="A20" s="4" t="s">
        <v>79</v>
      </c>
      <c r="B20" s="4" t="n">
        <v>2478</v>
      </c>
    </row>
    <row r="21" customFormat="false" ht="15" hidden="false" customHeight="false" outlineLevel="0" collapsed="false">
      <c r="A21" s="4" t="s">
        <v>80</v>
      </c>
      <c r="B21" s="4" t="n">
        <v>2478</v>
      </c>
    </row>
    <row r="22" customFormat="false" ht="15" hidden="false" customHeight="false" outlineLevel="0" collapsed="false">
      <c r="A22" s="4" t="s">
        <v>81</v>
      </c>
      <c r="B22" s="4" t="n">
        <v>2275</v>
      </c>
    </row>
    <row r="23" customFormat="false" ht="15" hidden="false" customHeight="false" outlineLevel="0" collapsed="false">
      <c r="A23" s="4" t="s">
        <v>102</v>
      </c>
      <c r="B23" s="4" t="n">
        <v>600</v>
      </c>
    </row>
    <row r="24" customFormat="false" ht="15" hidden="false" customHeight="false" outlineLevel="0" collapsed="false">
      <c r="A24" s="4" t="s">
        <v>82</v>
      </c>
      <c r="B24" s="4" t="n">
        <v>1978</v>
      </c>
    </row>
    <row r="25" customFormat="false" ht="15" hidden="false" customHeight="false" outlineLevel="0" collapsed="false">
      <c r="A25" s="4" t="s">
        <v>83</v>
      </c>
      <c r="B25" s="4" t="n">
        <v>1049</v>
      </c>
    </row>
    <row r="26" customFormat="false" ht="15" hidden="false" customHeight="false" outlineLevel="0" collapsed="false">
      <c r="A26" s="4" t="s">
        <v>84</v>
      </c>
      <c r="B26" s="4" t="n">
        <v>2410</v>
      </c>
    </row>
    <row r="27" customFormat="false" ht="15" hidden="false" customHeight="false" outlineLevel="0" collapsed="false">
      <c r="A27" s="4" t="s">
        <v>85</v>
      </c>
      <c r="B27" s="4" t="n">
        <v>2478</v>
      </c>
    </row>
    <row r="28" customFormat="false" ht="15" hidden="false" customHeight="false" outlineLevel="0" collapsed="false">
      <c r="A28" s="4" t="s">
        <v>86</v>
      </c>
      <c r="B28" s="4" t="n">
        <v>2122</v>
      </c>
    </row>
    <row r="29" customFormat="false" ht="15" hidden="false" customHeight="false" outlineLevel="0" collapsed="false">
      <c r="A29" s="4" t="s">
        <v>87</v>
      </c>
      <c r="B29" s="4" t="n">
        <v>799</v>
      </c>
    </row>
    <row r="30" customFormat="false" ht="15" hidden="false" customHeight="false" outlineLevel="0" collapsed="false">
      <c r="A30" s="4" t="s">
        <v>88</v>
      </c>
      <c r="B30" s="4" t="n">
        <v>1596</v>
      </c>
    </row>
    <row r="31" customFormat="false" ht="15" hidden="false" customHeight="false" outlineLevel="0" collapsed="false">
      <c r="A31" s="4" t="s">
        <v>89</v>
      </c>
      <c r="B31" s="4" t="n">
        <v>1260</v>
      </c>
    </row>
    <row r="32" customFormat="false" ht="15" hidden="false" customHeight="false" outlineLevel="0" collapsed="false">
      <c r="A32" s="4" t="s">
        <v>90</v>
      </c>
      <c r="B32" s="4" t="n">
        <v>2020</v>
      </c>
    </row>
    <row r="33" customFormat="false" ht="15" hidden="false" customHeight="false" outlineLevel="0" collapsed="false">
      <c r="A33" s="4" t="s">
        <v>91</v>
      </c>
      <c r="B33" s="4" t="n">
        <v>1983</v>
      </c>
    </row>
    <row r="34" customFormat="false" ht="15" hidden="false" customHeight="false" outlineLevel="0" collapsed="false">
      <c r="A34" s="4" t="s">
        <v>92</v>
      </c>
      <c r="B34" s="4" t="n">
        <v>2090</v>
      </c>
    </row>
    <row r="35" customFormat="false" ht="15" hidden="false" customHeight="false" outlineLevel="0" collapsed="false">
      <c r="A35" s="4" t="s">
        <v>93</v>
      </c>
      <c r="B35" s="4" t="n">
        <v>1258</v>
      </c>
    </row>
    <row r="36" customFormat="false" ht="15" hidden="false" customHeight="false" outlineLevel="0" collapsed="false">
      <c r="A36" s="4" t="s">
        <v>94</v>
      </c>
      <c r="B36" s="4" t="n">
        <v>754</v>
      </c>
    </row>
    <row r="37" customFormat="false" ht="15" hidden="false" customHeight="false" outlineLevel="0" collapsed="false">
      <c r="A37" s="4" t="s">
        <v>95</v>
      </c>
      <c r="B37" s="4" t="n">
        <v>1079</v>
      </c>
    </row>
    <row r="38" customFormat="false" ht="15" hidden="false" customHeight="false" outlineLevel="0" collapsed="false">
      <c r="A38" s="4" t="s">
        <v>96</v>
      </c>
      <c r="B38" s="4" t="n">
        <v>2478</v>
      </c>
    </row>
    <row r="39" customFormat="false" ht="15" hidden="false" customHeight="false" outlineLevel="0" collapsed="false">
      <c r="A39" s="4" t="s">
        <v>97</v>
      </c>
      <c r="B39" s="4" t="n">
        <v>2217</v>
      </c>
    </row>
    <row r="40" customFormat="false" ht="15" hidden="false" customHeight="false" outlineLevel="0" collapsed="false">
      <c r="A40" s="4" t="s">
        <v>103</v>
      </c>
      <c r="B40" s="4" t="n">
        <v>912</v>
      </c>
    </row>
    <row r="41" customFormat="false" ht="15" hidden="false" customHeight="false" outlineLevel="0" collapsed="false">
      <c r="A41" s="4" t="s">
        <v>98</v>
      </c>
      <c r="B41" s="4" t="n">
        <v>1178</v>
      </c>
    </row>
    <row r="42" customFormat="false" ht="15" hidden="false" customHeight="false" outlineLevel="0" collapsed="false">
      <c r="A42" s="4" t="s">
        <v>99</v>
      </c>
      <c r="B42" s="4" t="n">
        <v>2346</v>
      </c>
    </row>
    <row r="43" customFormat="false" ht="15" hidden="false" customHeight="false" outlineLevel="0" collapsed="false">
      <c r="A43" s="4" t="s">
        <v>100</v>
      </c>
      <c r="B43" s="4" t="n">
        <v>2478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2" t="s">
        <v>108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109</v>
      </c>
    </row>
    <row r="4" customFormat="false" ht="15" hidden="false" customHeight="false" outlineLevel="0" collapsed="false">
      <c r="A4" s="12" t="s">
        <v>110</v>
      </c>
    </row>
    <row r="5" customFormat="false" ht="15" hidden="false" customHeight="false" outlineLevel="0" collapsed="false">
      <c r="A5" s="12" t="s">
        <v>111</v>
      </c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2" t="s">
        <v>112</v>
      </c>
    </row>
    <row r="8" customFormat="false" ht="15" hidden="false" customHeight="false" outlineLevel="0" collapsed="false">
      <c r="A8" s="12" t="s">
        <v>113</v>
      </c>
    </row>
    <row r="9" customFormat="false" ht="15" hidden="false" customHeight="false" outlineLevel="0" collapsed="false">
      <c r="A9" s="12"/>
    </row>
    <row r="10" customFormat="false" ht="15" hidden="false" customHeight="false" outlineLevel="0" collapsed="false">
      <c r="A10" s="12" t="s">
        <v>114</v>
      </c>
    </row>
    <row r="11" customFormat="false" ht="15" hidden="false" customHeight="false" outlineLevel="0" collapsed="false">
      <c r="A11" s="12" t="s">
        <v>115</v>
      </c>
    </row>
    <row r="12" customFormat="false" ht="15" hidden="false" customHeight="false" outlineLevel="0" collapsed="false">
      <c r="A12" s="12" t="s">
        <v>116</v>
      </c>
    </row>
    <row r="13" customFormat="false" ht="15" hidden="false" customHeight="false" outlineLevel="0" collapsed="false">
      <c r="A13" s="12" t="s">
        <v>117</v>
      </c>
    </row>
    <row r="14" customFormat="false" ht="15" hidden="false" customHeight="false" outlineLevel="0" collapsed="false">
      <c r="A14" s="12" t="s">
        <v>118</v>
      </c>
    </row>
    <row r="15" customFormat="false" ht="15" hidden="false" customHeight="false" outlineLevel="0" collapsed="false">
      <c r="A15" s="12" t="s">
        <v>119</v>
      </c>
    </row>
    <row r="16" customFormat="false" ht="15" hidden="false" customHeight="false" outlineLevel="0" collapsed="false">
      <c r="A16" s="12" t="s">
        <v>120</v>
      </c>
    </row>
    <row r="17" customFormat="false" ht="15" hidden="false" customHeight="false" outlineLevel="0" collapsed="false">
      <c r="A17" s="12" t="s">
        <v>121</v>
      </c>
    </row>
    <row r="18" customFormat="false" ht="15" hidden="false" customHeight="false" outlineLevel="0" collapsed="false">
      <c r="A18" s="12" t="s">
        <v>122</v>
      </c>
    </row>
    <row r="19" customFormat="false" ht="15" hidden="false" customHeight="false" outlineLevel="0" collapsed="false">
      <c r="A19" s="12" t="s">
        <v>123</v>
      </c>
    </row>
    <row r="20" customFormat="false" ht="15" hidden="false" customHeight="false" outlineLevel="0" collapsed="false">
      <c r="A20" s="12" t="s">
        <v>124</v>
      </c>
    </row>
    <row r="21" customFormat="false" ht="15" hidden="false" customHeight="false" outlineLevel="0" collapsed="false">
      <c r="A21" s="12" t="s">
        <v>125</v>
      </c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 t="s">
        <v>126</v>
      </c>
    </row>
    <row r="24" customFormat="false" ht="15" hidden="false" customHeight="false" outlineLevel="0" collapsed="false">
      <c r="A24" s="12" t="s">
        <v>127</v>
      </c>
    </row>
    <row r="25" customFormat="false" ht="15" hidden="false" customHeight="false" outlineLevel="0" collapsed="false">
      <c r="A25" s="12" t="s">
        <v>128</v>
      </c>
    </row>
    <row r="26" customFormat="false" ht="15" hidden="false" customHeight="false" outlineLevel="0" collapsed="false">
      <c r="A26" s="12" t="s">
        <v>129</v>
      </c>
    </row>
    <row r="27" customFormat="false" ht="15" hidden="false" customHeight="false" outlineLevel="0" collapsed="false">
      <c r="A27" s="12" t="s">
        <v>130</v>
      </c>
    </row>
    <row r="28" customFormat="false" ht="15" hidden="false" customHeight="false" outlineLevel="0" collapsed="false">
      <c r="A28" s="12" t="s">
        <v>131</v>
      </c>
    </row>
    <row r="29" customFormat="false" ht="15" hidden="false" customHeight="false" outlineLevel="0" collapsed="false">
      <c r="A29" s="12" t="s">
        <v>132</v>
      </c>
    </row>
    <row r="30" customFormat="false" ht="15" hidden="false" customHeight="false" outlineLevel="0" collapsed="false">
      <c r="A30" s="12" t="s">
        <v>133</v>
      </c>
    </row>
    <row r="31" customFormat="false" ht="15" hidden="false" customHeight="false" outlineLevel="0" collapsed="false">
      <c r="A31" s="12" t="s">
        <v>134</v>
      </c>
    </row>
    <row r="32" customFormat="false" ht="15" hidden="false" customHeight="false" outlineLevel="0" collapsed="false">
      <c r="A32" s="12" t="s">
        <v>135</v>
      </c>
    </row>
    <row r="33" customFormat="false" ht="15" hidden="false" customHeight="false" outlineLevel="0" collapsed="false">
      <c r="A33" s="12" t="s">
        <v>136</v>
      </c>
    </row>
    <row r="34" customFormat="false" ht="15" hidden="false" customHeight="false" outlineLevel="0" collapsed="false">
      <c r="A34" s="12" t="s">
        <v>137</v>
      </c>
    </row>
    <row r="35" customFormat="false" ht="15" hidden="false" customHeight="false" outlineLevel="0" collapsed="false">
      <c r="A35" s="12" t="s">
        <v>138</v>
      </c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 t="s">
        <v>139</v>
      </c>
    </row>
    <row r="38" customFormat="false" ht="15" hidden="false" customHeight="false" outlineLevel="0" collapsed="false">
      <c r="A38" s="12" t="s">
        <v>140</v>
      </c>
    </row>
    <row r="39" customFormat="false" ht="15" hidden="false" customHeight="false" outlineLevel="0" collapsed="false">
      <c r="A39" s="12" t="s">
        <v>141</v>
      </c>
    </row>
    <row r="40" customFormat="false" ht="15" hidden="false" customHeight="false" outlineLevel="0" collapsed="false">
      <c r="A40" s="12" t="s">
        <v>142</v>
      </c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 t="s">
        <v>143</v>
      </c>
    </row>
    <row r="43" customFormat="false" ht="15" hidden="false" customHeight="false" outlineLevel="0" collapsed="false">
      <c r="A43" s="12" t="s">
        <v>144</v>
      </c>
    </row>
    <row r="44" customFormat="false" ht="15" hidden="false" customHeight="false" outlineLevel="0" collapsed="false">
      <c r="A44" s="12" t="s">
        <v>145</v>
      </c>
    </row>
    <row r="45" customFormat="false" ht="15" hidden="false" customHeight="false" outlineLevel="0" collapsed="false">
      <c r="A45" s="12" t="s">
        <v>146</v>
      </c>
    </row>
    <row r="46" customFormat="false" ht="15" hidden="false" customHeight="false" outlineLevel="0" collapsed="false">
      <c r="A46" s="12" t="s">
        <v>147</v>
      </c>
    </row>
    <row r="47" customFormat="false" ht="15" hidden="false" customHeight="false" outlineLevel="0" collapsed="false">
      <c r="A47" s="12" t="s">
        <v>148</v>
      </c>
    </row>
    <row r="48" customFormat="false" ht="15" hidden="false" customHeight="false" outlineLevel="0" collapsed="false">
      <c r="A48" s="12"/>
    </row>
    <row r="49" customFormat="false" ht="15" hidden="false" customHeight="false" outlineLevel="0" collapsed="false">
      <c r="A49" s="12" t="s">
        <v>149</v>
      </c>
    </row>
    <row r="50" customFormat="false" ht="15" hidden="false" customHeight="false" outlineLevel="0" collapsed="false">
      <c r="A50" s="12" t="s">
        <v>150</v>
      </c>
    </row>
    <row r="51" customFormat="false" ht="15" hidden="false" customHeight="false" outlineLevel="0" collapsed="false">
      <c r="A51" s="12" t="s">
        <v>151</v>
      </c>
    </row>
    <row r="52" customFormat="false" ht="15" hidden="false" customHeight="false" outlineLevel="0" collapsed="false">
      <c r="A52" s="12" t="s">
        <v>152</v>
      </c>
    </row>
    <row r="53" customFormat="false" ht="15" hidden="false" customHeight="false" outlineLevel="0" collapsed="false">
      <c r="A53" s="12"/>
    </row>
    <row r="54" customFormat="false" ht="15" hidden="false" customHeight="false" outlineLevel="0" collapsed="false">
      <c r="A54" s="12" t="s">
        <v>153</v>
      </c>
    </row>
    <row r="55" customFormat="false" ht="15" hidden="false" customHeight="false" outlineLevel="0" collapsed="false">
      <c r="A55" s="12" t="s">
        <v>154</v>
      </c>
    </row>
    <row r="56" customFormat="false" ht="15" hidden="false" customHeight="false" outlineLevel="0" collapsed="false">
      <c r="A56" s="12"/>
    </row>
    <row r="57" customFormat="false" ht="15" hidden="false" customHeight="false" outlineLevel="0" collapsed="false">
      <c r="A57" s="12" t="s">
        <v>155</v>
      </c>
    </row>
    <row r="58" customFormat="false" ht="15" hidden="false" customHeight="false" outlineLevel="0" collapsed="false">
      <c r="A58" s="12" t="s">
        <v>156</v>
      </c>
    </row>
    <row r="59" customFormat="false" ht="15" hidden="false" customHeight="false" outlineLevel="0" collapsed="false">
      <c r="A59" s="12" t="s">
        <v>157</v>
      </c>
    </row>
    <row r="60" customFormat="false" ht="15" hidden="false" customHeight="false" outlineLevel="0" collapsed="false">
      <c r="A60" s="12" t="s">
        <v>158</v>
      </c>
    </row>
    <row r="61" customFormat="false" ht="15" hidden="false" customHeight="false" outlineLevel="0" collapsed="false">
      <c r="A61" s="12" t="s">
        <v>159</v>
      </c>
    </row>
    <row r="62" customFormat="false" ht="15" hidden="false" customHeight="false" outlineLevel="0" collapsed="false">
      <c r="A62" s="1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2026-10-14T11:55:43Z</dcterms:created>
  <dc:creator>openpyxl</dc:creator>
  <dc:description/>
  <dc:language>en-US</dc:language>
  <cp:lastModifiedBy/>
  <dcterms:modified xsi:type="dcterms:W3CDTF">2026-10-14T11:55:43Z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