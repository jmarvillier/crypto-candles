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Tests" sheetId="2" state="visible" r:id="rId4"/>
    <sheet name="Par année" sheetId="3" state="visible" r:id="rId5"/>
    <sheet name="Contrôles" sheetId="4" state="visible" r:id="rId6"/>
    <sheet name="Protoco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<sst xmlns="http://schemas.openxmlformats.org/spreadsheetml/2006/main" count="216" uniqueCount="110">
  <si>
    <t xml:space="preserve">crypto-edge-lab — risk-anomalies-v1</t>
  </si>
  <si>
    <t xml:space="preserve">Type feature · perp 1d · horizons [5, 10, 20] barres · cible res · coût aller-retour 0.15% par jambe</t>
  </si>
  <si>
    <t xml:space="preserve">IS 2021-01-01 → 2024-06-30 · OOS 2024-07-01 → 2026-10-13 · 40 actifs · look-ahead OK · run 2026-10-13T21:23:25</t>
  </si>
  <si>
    <t xml:space="preserve">Verdicts</t>
  </si>
  <si>
    <t xml:space="preserve">CANDIDAT</t>
  </si>
  <si>
    <t xml:space="preserve">PISTE</t>
  </si>
  <si>
    <t xml:space="preserve">REJETÉ</t>
  </si>
  <si>
    <t xml:space="preserve">Total tests</t>
  </si>
  <si>
    <t xml:space="preserve">Lecture (à compléter par l'analyse) :</t>
  </si>
  <si>
    <t xml:space="preserve">feature</t>
  </si>
  <si>
    <t xml:space="preserve">test</t>
  </si>
  <si>
    <t xml:space="preserve">h</t>
  </si>
  <si>
    <t xml:space="preserve">sens_attendu</t>
  </si>
  <si>
    <t xml:space="preserve">t_IS</t>
  </si>
  <si>
    <t xml:space="preserve">n_dates_IS</t>
  </si>
  <si>
    <t xml:space="preserve">spread_IS</t>
  </si>
  <si>
    <t xml:space="preserve">actifs_moy_IS</t>
  </si>
  <si>
    <t xml:space="preserve">ic_IS</t>
  </si>
  <si>
    <t xml:space="preserve">t_OOS</t>
  </si>
  <si>
    <t xml:space="preserve">n_dates_OOS</t>
  </si>
  <si>
    <t xml:space="preserve">spread_OOS</t>
  </si>
  <si>
    <t xml:space="preserve">actifs_moy_OOS</t>
  </si>
  <si>
    <t xml:space="preserve">ic_OOS</t>
  </si>
  <si>
    <t xml:space="preserve">annees_ok</t>
  </si>
  <si>
    <t xml:space="preserve">annees_n</t>
  </si>
  <si>
    <t xml:space="preserve">p_OOS</t>
  </si>
  <si>
    <t xml:space="preserve">q_BH</t>
  </si>
  <si>
    <t xml:space="preserve">G1_signe</t>
  </si>
  <si>
    <t xml:space="preserve">G2_ic</t>
  </si>
  <si>
    <t xml:space="preserve">G3_t</t>
  </si>
  <si>
    <t xml:space="preserve">G4_fdr</t>
  </si>
  <si>
    <t xml:space="preserve">G5_IS=OOS</t>
  </si>
  <si>
    <t xml:space="preserve">G6_annees</t>
  </si>
  <si>
    <t xml:space="preserve">G7_net</t>
  </si>
  <si>
    <t xml:space="preserve">net_OOS</t>
  </si>
  <si>
    <t xml:space="preserve">verdict</t>
  </si>
  <si>
    <t xml:space="preserve">beta_btc_90</t>
  </si>
  <si>
    <t xml:space="preserve">XS (res)</t>
  </si>
  <si>
    <t xml:space="preserve">✔</t>
  </si>
  <si>
    <t xml:space="preserve">idio_vol_30</t>
  </si>
  <si>
    <t xml:space="preserve">max_ret_30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</si>
  <si>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</si>
  <si>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</si>
  <si>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</si>
  <si>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</si>
  <si>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</si>
  <si>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</si>
  <si>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Look-ahead : OK</t>
  </si>
  <si>
    <t xml:space="preserve">Features : beta_btc_90, idio_vol_30, max_ret_30</t>
  </si>
  <si>
    <t xml:space="preserve">Barres avec signal défini, par actif :</t>
  </si>
  <si>
    <t xml:space="preserve">AAVE</t>
  </si>
  <si>
    <t xml:space="preserve">ADA</t>
  </si>
  <si>
    <t xml:space="preserve">APE</t>
  </si>
  <si>
    <t xml:space="preserve">APT</t>
  </si>
  <si>
    <t xml:space="preserve">ARB</t>
  </si>
  <si>
    <t xml:space="preserve">ATOM</t>
  </si>
  <si>
    <t xml:space="preserve">AVAX</t>
  </si>
  <si>
    <t xml:space="preserve">BCH</t>
  </si>
  <si>
    <t xml:space="preserve">BICO</t>
  </si>
  <si>
    <t xml:space="preserve">BNB</t>
  </si>
  <si>
    <t xml:space="preserve">BTC</t>
  </si>
  <si>
    <t xml:space="preserve">CRV</t>
  </si>
  <si>
    <t xml:space="preserve">DOGE</t>
  </si>
  <si>
    <t xml:space="preserve">DOT</t>
  </si>
  <si>
    <t xml:space="preserve">DYDX</t>
  </si>
  <si>
    <t xml:space="preserve">ENA</t>
  </si>
  <si>
    <t xml:space="preserve">ETC</t>
  </si>
  <si>
    <t xml:space="preserve">ETH</t>
  </si>
  <si>
    <t xml:space="preserve">FIL</t>
  </si>
  <si>
    <t xml:space="preserve">HYPE</t>
  </si>
  <si>
    <t xml:space="preserve">ICP</t>
  </si>
  <si>
    <t xml:space="preserve">INJ</t>
  </si>
  <si>
    <t xml:space="preserve">LINK</t>
  </si>
  <si>
    <t xml:space="preserve">LTC</t>
  </si>
  <si>
    <t xml:space="preserve">NEAR</t>
  </si>
  <si>
    <t xml:space="preserve">ONDO</t>
  </si>
  <si>
    <t xml:space="preserve">OP</t>
  </si>
  <si>
    <t xml:space="preserve">PEPE</t>
  </si>
  <si>
    <t xml:space="preserve">SAND</t>
  </si>
  <si>
    <t xml:space="preserve">SHIB</t>
  </si>
  <si>
    <t xml:space="preserve">SOL</t>
  </si>
  <si>
    <t xml:space="preserve">SUI</t>
  </si>
  <si>
    <t xml:space="preserve">TAO</t>
  </si>
  <si>
    <t xml:space="preserve">TIA</t>
  </si>
  <si>
    <t xml:space="preserve">TRX</t>
  </si>
  <si>
    <t xml:space="preserve">UNI</t>
  </si>
  <si>
    <t xml:space="preserve">WIF</t>
  </si>
  <si>
    <t xml:space="preserve">WLD</t>
  </si>
  <si>
    <t xml:space="preserve">XLM</t>
  </si>
  <si>
    <t xml:space="preserve">XRP</t>
  </si>
  <si>
    <t xml:space="preserve"># risk-anomalies-v1 — pré-enregistrement</t>
  </si>
  <si>
    <t xml:space="preserve">Figé le 2026-10-13, AVANT le premier run. Contrôle look-ahead passé (40 actifs).</t>
  </si>
  <si>
    <t xml:space="preserve">Statut : GO de Jérémie reçu le 2026-10-13 avant tout run (protocole inchangé).</t>
  </si>
  <si>
    <t xml:space="preserve">## Hypothèse</t>
  </si>
  <si>
    <t xml:space="preserve">- Les alts « loterie » / à risque élevé sous-performent BTC×β ensuite (anomalies de risque : betting-against-beta, vol idiosyncratique, MAX).</t>
  </si>
  <si>
    <t xml:space="preserve">- Mécanisme : demande de levier et de profils à queue droite (traders contraints / particuliers) qui surpaie ces actifs ; l'edge est payé par les acheteurs de loterie.</t>
  </si>
  <si>
    <t xml:space="preserve">- Falsification : IC OOS ≥ 0 ou non significatif, ou signe instable par année.</t>
  </si>
  <si>
    <t xml:space="preserve">- Lien avec l'existant : vol_30 (vol TOTALE) a été GO dans le factor lab du 12/10. Ici on teste si l'effet vient du bêta, de l'idiosyncratique ou des queues — trois mécanismes distincts.</t>
  </si>
  <si>
    <t xml:space="preserve">## Signal (feature, daily)</t>
  </si>
  <si>
    <t xml:space="preserve">- beta_btc_90 : β glissant 90 j des log-rendements vs BTC (min 60 obs).</t>
  </si>
  <si>
    <t xml:space="preserve">- idio_vol_30 : écart-type 30 j du résidu r − β90·r_BTC.</t>
  </si>
  <si>
    <t xml:space="preserve">- max_ret_30 : plus forte hausse journalière (log) des 30 derniers jours.</t>
  </si>
  <si>
    <t xml:space="preserve">- Sens attendu : −1 pour les trois.</t>
  </si>
  <si>
    <t xml:space="preserve">## Données et fenêtres</t>
  </si>
  <si>
    <t xml:space="preserve">- perp 1d, 40 actifs (BTC = référence, exclu de l'IC). IS 2021-01-01 → 2024-06-30 ; OOS 2024-07-01 → aujourd'hui.</t>
  </si>
  <si>
    <t xml:space="preserve">## Tests</t>
  </si>
  <si>
    <t xml:space="preserve">- XS uniquement (anomalies de section), cible res (alt vs BTC×β 90 j), h = 5, 10, 20 j. Coût 0,15 %/jambe.</t>
  </si>
  <si>
    <t xml:space="preserve">## Gates — défaut methodology §3 (G1–G7), BH sur les 9 tests du run.</t>
  </si>
  <si>
    <t xml:space="preserve">## Suite</t>
  </si>
  <si>
    <t xml:space="preserve">CANDIDAT → backtest long-short pré-enregistré (crypto-backtest-forge), funding des shorts compris, puis contrôle xperp. PISTE → une v2 max. REJETÉ → clôture.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</si>
</sst>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9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n">
        <f aca="false">COUNTIF(Tests!$AA$2:$AA$10,"CANDIDAT")</f>
        <v>9</v>
      </c>
    </row>
    <row r="7" customFormat="false" ht="15" hidden="false" customHeight="false" outlineLevel="0" collapsed="false">
      <c r="A7" s="4" t="s">
        <v>5</v>
      </c>
      <c r="B7" s="4" t="n">
        <f aca="false">COUNTIF(Tests!$AA$2:$AA$10,"PISTE")</f>
        <v>0</v>
      </c>
    </row>
    <row r="8" customFormat="false" ht="15" hidden="false" customHeight="false" outlineLevel="0" collapsed="false">
      <c r="A8" s="4" t="s">
        <v>6</v>
      </c>
      <c r="B8" s="4" t="n">
        <f aca="false">COUNTIF(Tests!$AA$2:$AA$10,"REJETÉ")</f>
        <v>0</v>
      </c>
    </row>
    <row r="9" customFormat="false" ht="15" hidden="false" customHeight="false" outlineLevel="0" collapsed="false">
      <c r="A9" s="3" t="s">
        <v>7</v>
      </c>
      <c r="B9" s="3" t="n">
        <f aca="false">SUM(B6:B8)</f>
        <v>9</v>
      </c>
    </row>
    <row r="11" customFormat="false" ht="15" hidden="false" customHeight="false" outlineLevel="0" collapsed="false">
      <c r="A11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0"/>
    <col collapsed="false" customWidth="true" hidden="false" outlineLevel="0" max="19" min="19" style="0" width="11"/>
    <col collapsed="false" customWidth="true" hidden="false" outlineLevel="0" max="22" min="20" style="0" width="10"/>
    <col collapsed="false" customWidth="true" hidden="false" outlineLevel="0" max="24" min="23" style="0" width="12"/>
    <col collapsed="false" customWidth="true" hidden="false" outlineLevel="0" max="27" min="25" style="0" width="10"/>
  </cols>
  <sheetData>
    <row r="1" customFormat="false" ht="26.8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  <c r="Y1" s="5" t="s">
        <v>33</v>
      </c>
      <c r="Z1" s="5" t="s">
        <v>34</v>
      </c>
      <c r="AA1" s="5" t="s">
        <v>35</v>
      </c>
    </row>
    <row r="2" customFormat="false" ht="15" hidden="false" customHeight="false" outlineLevel="0" collapsed="false">
      <c r="A2" s="6" t="s">
        <v>36</v>
      </c>
      <c r="B2" s="6" t="s">
        <v>37</v>
      </c>
      <c r="C2" s="6" t="n">
        <v>5</v>
      </c>
      <c r="D2" s="6" t="n">
        <v>-1</v>
      </c>
      <c r="E2" s="7" t="n">
        <v>-4.63685408077281</v>
      </c>
      <c r="F2" s="6" t="n">
        <v>1277</v>
      </c>
      <c r="G2" s="8" t="n">
        <v>-0.0077561012244023</v>
      </c>
      <c r="H2" s="7" t="n">
        <v>25.8261550509006</v>
      </c>
      <c r="I2" s="7" t="n">
        <v>-0.0654089251280986</v>
      </c>
      <c r="J2" s="7" t="n">
        <v>-4.66255915414137</v>
      </c>
      <c r="K2" s="6" t="n">
        <v>829</v>
      </c>
      <c r="L2" s="8" t="n">
        <v>-0.0133654475631388</v>
      </c>
      <c r="M2" s="7" t="n">
        <v>37.5910735826297</v>
      </c>
      <c r="N2" s="7" t="n">
        <v>-0.0852821291407823</v>
      </c>
      <c r="O2" s="6" t="n">
        <v>6</v>
      </c>
      <c r="P2" s="6" t="n">
        <v>6</v>
      </c>
      <c r="Q2" s="7" t="n">
        <v>3.12301277585138E-006</v>
      </c>
      <c r="R2" s="7" t="n">
        <v>4.68451916377706E-006</v>
      </c>
      <c r="S2" s="6" t="s">
        <v>38</v>
      </c>
      <c r="T2" s="6" t="s">
        <v>38</v>
      </c>
      <c r="U2" s="6" t="s">
        <v>38</v>
      </c>
      <c r="V2" s="6" t="s">
        <v>38</v>
      </c>
      <c r="W2" s="6" t="s">
        <v>38</v>
      </c>
      <c r="X2" s="6" t="s">
        <v>38</v>
      </c>
      <c r="Y2" s="6" t="s">
        <v>38</v>
      </c>
      <c r="Z2" s="8" t="n">
        <v>0.0103654475631388</v>
      </c>
      <c r="AA2" s="6" t="s">
        <v>4</v>
      </c>
    </row>
    <row r="3" customFormat="false" ht="15" hidden="false" customHeight="false" outlineLevel="0" collapsed="false">
      <c r="A3" s="6" t="s">
        <v>36</v>
      </c>
      <c r="B3" s="6" t="s">
        <v>37</v>
      </c>
      <c r="C3" s="6" t="n">
        <v>10</v>
      </c>
      <c r="D3" s="6" t="n">
        <v>-1</v>
      </c>
      <c r="E3" s="7" t="n">
        <v>-3.99308701256236</v>
      </c>
      <c r="F3" s="6" t="n">
        <v>1277</v>
      </c>
      <c r="G3" s="8" t="n">
        <v>-0.0152275553503411</v>
      </c>
      <c r="H3" s="7" t="n">
        <v>25.8261550509006</v>
      </c>
      <c r="I3" s="7" t="n">
        <v>-0.0793857217705572</v>
      </c>
      <c r="J3" s="7" t="n">
        <v>-4.29268627151995</v>
      </c>
      <c r="K3" s="6" t="n">
        <v>824</v>
      </c>
      <c r="L3" s="8" t="n">
        <v>-0.0268843231992934</v>
      </c>
      <c r="M3" s="7" t="n">
        <v>37.5825242718447</v>
      </c>
      <c r="N3" s="7" t="n">
        <v>-0.110116343736042</v>
      </c>
      <c r="O3" s="6" t="n">
        <v>6</v>
      </c>
      <c r="P3" s="6" t="n">
        <v>6</v>
      </c>
      <c r="Q3" s="7" t="n">
        <v>1.76524348480166E-005</v>
      </c>
      <c r="R3" s="7" t="n">
        <v>1.98589892040187E-005</v>
      </c>
      <c r="S3" s="6" t="s">
        <v>38</v>
      </c>
      <c r="T3" s="6" t="s">
        <v>38</v>
      </c>
      <c r="U3" s="6" t="s">
        <v>38</v>
      </c>
      <c r="V3" s="6" t="s">
        <v>38</v>
      </c>
      <c r="W3" s="6" t="s">
        <v>38</v>
      </c>
      <c r="X3" s="6" t="s">
        <v>38</v>
      </c>
      <c r="Y3" s="6" t="s">
        <v>38</v>
      </c>
      <c r="Z3" s="8" t="n">
        <v>0.0238843231992934</v>
      </c>
      <c r="AA3" s="6" t="s">
        <v>4</v>
      </c>
    </row>
    <row r="4" customFormat="false" ht="15" hidden="false" customHeight="false" outlineLevel="0" collapsed="false">
      <c r="A4" s="6" t="s">
        <v>36</v>
      </c>
      <c r="B4" s="6" t="s">
        <v>37</v>
      </c>
      <c r="C4" s="6" t="n">
        <v>20</v>
      </c>
      <c r="D4" s="6" t="n">
        <v>-1</v>
      </c>
      <c r="E4" s="7" t="n">
        <v>-3.67278803511799</v>
      </c>
      <c r="F4" s="6" t="n">
        <v>1277</v>
      </c>
      <c r="G4" s="8" t="n">
        <v>-0.0299939388882671</v>
      </c>
      <c r="H4" s="7" t="n">
        <v>25.8261550509006</v>
      </c>
      <c r="I4" s="7" t="n">
        <v>-0.106959220552459</v>
      </c>
      <c r="J4" s="7" t="n">
        <v>-3.65399145556928</v>
      </c>
      <c r="K4" s="6" t="n">
        <v>814</v>
      </c>
      <c r="L4" s="8" t="n">
        <v>-0.0493793863357372</v>
      </c>
      <c r="M4" s="7" t="n">
        <v>37.5651105651106</v>
      </c>
      <c r="N4" s="7" t="n">
        <v>-0.130486701621487</v>
      </c>
      <c r="O4" s="6" t="n">
        <v>6</v>
      </c>
      <c r="P4" s="6" t="n">
        <v>6</v>
      </c>
      <c r="Q4" s="7" t="n">
        <v>0.0002581948633152</v>
      </c>
      <c r="R4" s="7" t="n">
        <v>0.0002581948633152</v>
      </c>
      <c r="S4" s="6" t="s">
        <v>38</v>
      </c>
      <c r="T4" s="6" t="s">
        <v>38</v>
      </c>
      <c r="U4" s="6" t="s">
        <v>38</v>
      </c>
      <c r="V4" s="6" t="s">
        <v>38</v>
      </c>
      <c r="W4" s="6" t="s">
        <v>38</v>
      </c>
      <c r="X4" s="6" t="s">
        <v>38</v>
      </c>
      <c r="Y4" s="6" t="s">
        <v>38</v>
      </c>
      <c r="Z4" s="8" t="n">
        <v>0.0463793863357372</v>
      </c>
      <c r="AA4" s="6" t="s">
        <v>4</v>
      </c>
    </row>
    <row r="5" customFormat="false" ht="15" hidden="false" customHeight="false" outlineLevel="0" collapsed="false">
      <c r="A5" s="6" t="s">
        <v>39</v>
      </c>
      <c r="B5" s="6" t="s">
        <v>37</v>
      </c>
      <c r="C5" s="6" t="n">
        <v>5</v>
      </c>
      <c r="D5" s="6" t="n">
        <v>-1</v>
      </c>
      <c r="E5" s="7" t="n">
        <v>-7.04473889710643</v>
      </c>
      <c r="F5" s="6" t="n">
        <v>1277</v>
      </c>
      <c r="G5" s="8" t="n">
        <v>-0.0022159905269667</v>
      </c>
      <c r="H5" s="7" t="n">
        <v>25.8261550509006</v>
      </c>
      <c r="I5" s="7" t="n">
        <v>-0.0965796058429492</v>
      </c>
      <c r="J5" s="7" t="n">
        <v>-6.21972004943072</v>
      </c>
      <c r="K5" s="6" t="n">
        <v>829</v>
      </c>
      <c r="L5" s="8" t="n">
        <v>-0.0092744130911697</v>
      </c>
      <c r="M5" s="7" t="n">
        <v>37.5910735826297</v>
      </c>
      <c r="N5" s="7" t="n">
        <v>-0.105390573562529</v>
      </c>
      <c r="O5" s="6" t="n">
        <v>6</v>
      </c>
      <c r="P5" s="6" t="n">
        <v>6</v>
      </c>
      <c r="Q5" s="7" t="n">
        <v>4.98042692107352E-010</v>
      </c>
      <c r="R5" s="7" t="n">
        <v>1.49412807632206E-009</v>
      </c>
      <c r="S5" s="6" t="s">
        <v>38</v>
      </c>
      <c r="T5" s="6" t="s">
        <v>38</v>
      </c>
      <c r="U5" s="6" t="s">
        <v>38</v>
      </c>
      <c r="V5" s="6" t="s">
        <v>38</v>
      </c>
      <c r="W5" s="6" t="s">
        <v>38</v>
      </c>
      <c r="X5" s="6" t="s">
        <v>38</v>
      </c>
      <c r="Y5" s="6" t="s">
        <v>38</v>
      </c>
      <c r="Z5" s="8" t="n">
        <v>0.0062744130911697</v>
      </c>
      <c r="AA5" s="6" t="s">
        <v>4</v>
      </c>
    </row>
    <row r="6" customFormat="false" ht="15" hidden="false" customHeight="false" outlineLevel="0" collapsed="false">
      <c r="A6" s="6" t="s">
        <v>39</v>
      </c>
      <c r="B6" s="6" t="s">
        <v>37</v>
      </c>
      <c r="C6" s="6" t="n">
        <v>10</v>
      </c>
      <c r="D6" s="6" t="n">
        <v>-1</v>
      </c>
      <c r="E6" s="7" t="n">
        <v>-6.33054680247194</v>
      </c>
      <c r="F6" s="6" t="n">
        <v>1277</v>
      </c>
      <c r="G6" s="8" t="n">
        <v>-0.0082061959737508</v>
      </c>
      <c r="H6" s="7" t="n">
        <v>25.8261550509006</v>
      </c>
      <c r="I6" s="7" t="n">
        <v>-0.121539417930524</v>
      </c>
      <c r="J6" s="7" t="n">
        <v>-5.91863114412697</v>
      </c>
      <c r="K6" s="6" t="n">
        <v>824</v>
      </c>
      <c r="L6" s="8" t="n">
        <v>-0.0200372097747176</v>
      </c>
      <c r="M6" s="7" t="n">
        <v>37.5825242718447</v>
      </c>
      <c r="N6" s="7" t="n">
        <v>-0.133643884628848</v>
      </c>
      <c r="O6" s="6" t="n">
        <v>6</v>
      </c>
      <c r="P6" s="6" t="n">
        <v>6</v>
      </c>
      <c r="Q6" s="7" t="n">
        <v>3.24632096731825E-009</v>
      </c>
      <c r="R6" s="7" t="n">
        <v>7.30422217646605E-009</v>
      </c>
      <c r="S6" s="6" t="s">
        <v>38</v>
      </c>
      <c r="T6" s="6" t="s">
        <v>38</v>
      </c>
      <c r="U6" s="6" t="s">
        <v>38</v>
      </c>
      <c r="V6" s="6" t="s">
        <v>38</v>
      </c>
      <c r="W6" s="6" t="s">
        <v>38</v>
      </c>
      <c r="X6" s="6" t="s">
        <v>38</v>
      </c>
      <c r="Y6" s="6" t="s">
        <v>38</v>
      </c>
      <c r="Z6" s="8" t="n">
        <v>0.0170372097747176</v>
      </c>
      <c r="AA6" s="6" t="s">
        <v>4</v>
      </c>
    </row>
    <row r="7" customFormat="false" ht="15" hidden="false" customHeight="false" outlineLevel="0" collapsed="false">
      <c r="A7" s="6" t="s">
        <v>39</v>
      </c>
      <c r="B7" s="6" t="s">
        <v>37</v>
      </c>
      <c r="C7" s="6" t="n">
        <v>20</v>
      </c>
      <c r="D7" s="6" t="n">
        <v>-1</v>
      </c>
      <c r="E7" s="7" t="n">
        <v>-4.85694152336784</v>
      </c>
      <c r="F7" s="6" t="n">
        <v>1277</v>
      </c>
      <c r="G7" s="8" t="n">
        <v>-0.0222295723576216</v>
      </c>
      <c r="H7" s="7" t="n">
        <v>25.8261550509006</v>
      </c>
      <c r="I7" s="7" t="n">
        <v>-0.14120500430736</v>
      </c>
      <c r="J7" s="7" t="n">
        <v>-4.51090840260352</v>
      </c>
      <c r="K7" s="6" t="n">
        <v>814</v>
      </c>
      <c r="L7" s="8" t="n">
        <v>-0.0384940440100482</v>
      </c>
      <c r="M7" s="7" t="n">
        <v>37.5651105651106</v>
      </c>
      <c r="N7" s="7" t="n">
        <v>-0.147584746287594</v>
      </c>
      <c r="O7" s="6" t="n">
        <v>6</v>
      </c>
      <c r="P7" s="6" t="n">
        <v>6</v>
      </c>
      <c r="Q7" s="7" t="n">
        <v>6.45505921439549E-006</v>
      </c>
      <c r="R7" s="7" t="n">
        <v>8.29936184707992E-006</v>
      </c>
      <c r="S7" s="6" t="s">
        <v>38</v>
      </c>
      <c r="T7" s="6" t="s">
        <v>38</v>
      </c>
      <c r="U7" s="6" t="s">
        <v>38</v>
      </c>
      <c r="V7" s="6" t="s">
        <v>38</v>
      </c>
      <c r="W7" s="6" t="s">
        <v>38</v>
      </c>
      <c r="X7" s="6" t="s">
        <v>38</v>
      </c>
      <c r="Y7" s="6" t="s">
        <v>38</v>
      </c>
      <c r="Z7" s="8" t="n">
        <v>0.0354940440100482</v>
      </c>
      <c r="AA7" s="6" t="s">
        <v>4</v>
      </c>
    </row>
    <row r="8" customFormat="false" ht="15" hidden="false" customHeight="false" outlineLevel="0" collapsed="false">
      <c r="A8" s="6" t="s">
        <v>40</v>
      </c>
      <c r="B8" s="6" t="s">
        <v>37</v>
      </c>
      <c r="C8" s="6" t="n">
        <v>5</v>
      </c>
      <c r="D8" s="6" t="n">
        <v>-1</v>
      </c>
      <c r="E8" s="7" t="n">
        <v>-5.95060580573625</v>
      </c>
      <c r="F8" s="6" t="n">
        <v>1277</v>
      </c>
      <c r="G8" s="8" t="n">
        <v>0.0007582682558604</v>
      </c>
      <c r="H8" s="7" t="n">
        <v>25.8261550509006</v>
      </c>
      <c r="I8" s="7" t="n">
        <v>-0.0724887579124606</v>
      </c>
      <c r="J8" s="7" t="n">
        <v>-6.31854656620729</v>
      </c>
      <c r="K8" s="6" t="n">
        <v>829</v>
      </c>
      <c r="L8" s="8" t="n">
        <v>-0.0134725564279001</v>
      </c>
      <c r="M8" s="7" t="n">
        <v>37.5910735826297</v>
      </c>
      <c r="N8" s="7" t="n">
        <v>-0.0905903821249999</v>
      </c>
      <c r="O8" s="6" t="n">
        <v>6</v>
      </c>
      <c r="P8" s="6" t="n">
        <v>6</v>
      </c>
      <c r="Q8" s="7" t="n">
        <v>2.64034738725547E-010</v>
      </c>
      <c r="R8" s="7" t="n">
        <v>1.18815632426496E-009</v>
      </c>
      <c r="S8" s="6" t="s">
        <v>38</v>
      </c>
      <c r="T8" s="6" t="s">
        <v>38</v>
      </c>
      <c r="U8" s="6" t="s">
        <v>38</v>
      </c>
      <c r="V8" s="6" t="s">
        <v>38</v>
      </c>
      <c r="W8" s="6" t="s">
        <v>38</v>
      </c>
      <c r="X8" s="6" t="s">
        <v>38</v>
      </c>
      <c r="Y8" s="6" t="s">
        <v>38</v>
      </c>
      <c r="Z8" s="8" t="n">
        <v>0.0104725564279001</v>
      </c>
      <c r="AA8" s="6" t="s">
        <v>4</v>
      </c>
    </row>
    <row r="9" customFormat="false" ht="15" hidden="false" customHeight="false" outlineLevel="0" collapsed="false">
      <c r="A9" s="6" t="s">
        <v>40</v>
      </c>
      <c r="B9" s="6" t="s">
        <v>37</v>
      </c>
      <c r="C9" s="6" t="n">
        <v>10</v>
      </c>
      <c r="D9" s="6" t="n">
        <v>-1</v>
      </c>
      <c r="E9" s="7" t="n">
        <v>-5.39783000361712</v>
      </c>
      <c r="F9" s="6" t="n">
        <v>1277</v>
      </c>
      <c r="G9" s="8" t="n">
        <v>-0.0022484043596529</v>
      </c>
      <c r="H9" s="7" t="n">
        <v>25.8261550509006</v>
      </c>
      <c r="I9" s="7" t="n">
        <v>-0.0880529062228603</v>
      </c>
      <c r="J9" s="7" t="n">
        <v>-6.56024191555119</v>
      </c>
      <c r="K9" s="6" t="n">
        <v>824</v>
      </c>
      <c r="L9" s="8" t="n">
        <v>-0.0293308585393372</v>
      </c>
      <c r="M9" s="7" t="n">
        <v>37.5825242718447</v>
      </c>
      <c r="N9" s="7" t="n">
        <v>-0.12079165953174</v>
      </c>
      <c r="O9" s="6" t="n">
        <v>6</v>
      </c>
      <c r="P9" s="6" t="n">
        <v>6</v>
      </c>
      <c r="Q9" s="7" t="n">
        <v>5.37205551416872E-011</v>
      </c>
      <c r="R9" s="7" t="n">
        <v>4.83484996275185E-010</v>
      </c>
      <c r="S9" s="6" t="s">
        <v>38</v>
      </c>
      <c r="T9" s="6" t="s">
        <v>38</v>
      </c>
      <c r="U9" s="6" t="s">
        <v>38</v>
      </c>
      <c r="V9" s="6" t="s">
        <v>38</v>
      </c>
      <c r="W9" s="6" t="s">
        <v>38</v>
      </c>
      <c r="X9" s="6" t="s">
        <v>38</v>
      </c>
      <c r="Y9" s="6" t="s">
        <v>38</v>
      </c>
      <c r="Z9" s="8" t="n">
        <v>0.0263308585393372</v>
      </c>
      <c r="AA9" s="6" t="s">
        <v>4</v>
      </c>
    </row>
    <row r="10" customFormat="false" ht="15" hidden="false" customHeight="false" outlineLevel="0" collapsed="false">
      <c r="A10" s="6" t="s">
        <v>40</v>
      </c>
      <c r="B10" s="6" t="s">
        <v>37</v>
      </c>
      <c r="C10" s="6" t="n">
        <v>20</v>
      </c>
      <c r="D10" s="6" t="n">
        <v>-1</v>
      </c>
      <c r="E10" s="7" t="n">
        <v>-3.73239279593665</v>
      </c>
      <c r="F10" s="6" t="n">
        <v>1277</v>
      </c>
      <c r="G10" s="8" t="n">
        <v>-0.0074845041600656</v>
      </c>
      <c r="H10" s="7" t="n">
        <v>25.8261550509006</v>
      </c>
      <c r="I10" s="7" t="n">
        <v>-0.0906076753437418</v>
      </c>
      <c r="J10" s="7" t="n">
        <v>-5.24239490368612</v>
      </c>
      <c r="K10" s="6" t="n">
        <v>814</v>
      </c>
      <c r="L10" s="8" t="n">
        <v>-0.0501877865127038</v>
      </c>
      <c r="M10" s="7" t="n">
        <v>37.5651105651106</v>
      </c>
      <c r="N10" s="7" t="n">
        <v>-0.139342153769627</v>
      </c>
      <c r="O10" s="6" t="n">
        <v>6</v>
      </c>
      <c r="P10" s="6" t="n">
        <v>6</v>
      </c>
      <c r="Q10" s="7" t="n">
        <v>1.5850567675548E-007</v>
      </c>
      <c r="R10" s="7" t="n">
        <v>2.85310218159865E-007</v>
      </c>
      <c r="S10" s="6" t="s">
        <v>38</v>
      </c>
      <c r="T10" s="6" t="s">
        <v>38</v>
      </c>
      <c r="U10" s="6" t="s">
        <v>38</v>
      </c>
      <c r="V10" s="6" t="s">
        <v>38</v>
      </c>
      <c r="W10" s="6" t="s">
        <v>38</v>
      </c>
      <c r="X10" s="6" t="s">
        <v>38</v>
      </c>
      <c r="Y10" s="6" t="s">
        <v>38</v>
      </c>
      <c r="Z10" s="8" t="n">
        <v>0.0471877865127038</v>
      </c>
      <c r="AA10" s="6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0"/>
  </cols>
  <sheetData>
    <row r="1" customFormat="false" ht="1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</row>
    <row r="2" customFormat="false" ht="15" hidden="false" customHeight="false" outlineLevel="0" collapsed="false">
      <c r="A2" s="2" t="s">
        <v>36</v>
      </c>
      <c r="B2" s="2" t="s">
        <v>37</v>
      </c>
      <c r="C2" s="2" t="n">
        <v>5</v>
      </c>
      <c r="D2" s="9" t="n">
        <v>-0.0667407640778012</v>
      </c>
      <c r="E2" s="9" t="n">
        <v>-0.0319787919049384</v>
      </c>
      <c r="F2" s="9" t="n">
        <v>-0.115246857600592</v>
      </c>
      <c r="G2" s="9" t="n">
        <v>-0.0769575514241362</v>
      </c>
      <c r="H2" s="9" t="n">
        <v>-0.102103974086671</v>
      </c>
      <c r="I2" s="9" t="n">
        <v>-0.0381925968768074</v>
      </c>
    </row>
    <row r="3" customFormat="false" ht="15" hidden="false" customHeight="false" outlineLevel="0" collapsed="false">
      <c r="A3" s="2" t="s">
        <v>36</v>
      </c>
      <c r="B3" s="2" t="s">
        <v>37</v>
      </c>
      <c r="C3" s="2" t="n">
        <v>10</v>
      </c>
      <c r="D3" s="9" t="n">
        <v>-0.0704241071540824</v>
      </c>
      <c r="E3" s="9" t="n">
        <v>-0.0321699998102618</v>
      </c>
      <c r="F3" s="9" t="n">
        <v>-0.165198225472937</v>
      </c>
      <c r="G3" s="9" t="n">
        <v>-0.091181537898613</v>
      </c>
      <c r="H3" s="9" t="n">
        <v>-0.13476970842508</v>
      </c>
      <c r="I3" s="9" t="n">
        <v>-0.0429230769230769</v>
      </c>
    </row>
    <row r="4" customFormat="false" ht="15" hidden="false" customHeight="false" outlineLevel="0" collapsed="false">
      <c r="A4" s="2" t="s">
        <v>36</v>
      </c>
      <c r="B4" s="2" t="s">
        <v>37</v>
      </c>
      <c r="C4" s="2" t="n">
        <v>20</v>
      </c>
      <c r="D4" s="9" t="n">
        <v>-0.0936358253415896</v>
      </c>
      <c r="E4" s="9" t="n">
        <v>-0.0482080548000738</v>
      </c>
      <c r="F4" s="9" t="n">
        <v>-0.215009350184255</v>
      </c>
      <c r="G4" s="9" t="n">
        <v>-0.120847467446581</v>
      </c>
      <c r="H4" s="9" t="n">
        <v>-0.156122898451666</v>
      </c>
      <c r="I4" s="9" t="n">
        <v>-0.0427797723626919</v>
      </c>
    </row>
    <row r="5" customFormat="false" ht="15" hidden="false" customHeight="false" outlineLevel="0" collapsed="false">
      <c r="A5" s="2" t="s">
        <v>39</v>
      </c>
      <c r="B5" s="2" t="s">
        <v>37</v>
      </c>
      <c r="C5" s="2" t="n">
        <v>5</v>
      </c>
      <c r="D5" s="9" t="n">
        <v>-0.0384327780144433</v>
      </c>
      <c r="E5" s="9" t="n">
        <v>-0.109430506096379</v>
      </c>
      <c r="F5" s="9" t="n">
        <v>-0.12566790063146</v>
      </c>
      <c r="G5" s="9" t="n">
        <v>-0.113817769236811</v>
      </c>
      <c r="H5" s="9" t="n">
        <v>-0.135378234981696</v>
      </c>
      <c r="I5" s="9" t="n">
        <v>-0.0706846443030653</v>
      </c>
    </row>
    <row r="6" customFormat="false" ht="15" hidden="false" customHeight="false" outlineLevel="0" collapsed="false">
      <c r="A6" s="2" t="s">
        <v>39</v>
      </c>
      <c r="B6" s="2" t="s">
        <v>37</v>
      </c>
      <c r="C6" s="2" t="n">
        <v>10</v>
      </c>
      <c r="D6" s="9" t="n">
        <v>-0.0289169717489316</v>
      </c>
      <c r="E6" s="9" t="n">
        <v>-0.14340957474132</v>
      </c>
      <c r="F6" s="9" t="n">
        <v>-0.173127173403256</v>
      </c>
      <c r="G6" s="9" t="n">
        <v>-0.145360077826007</v>
      </c>
      <c r="H6" s="9" t="n">
        <v>-0.174905355691224</v>
      </c>
      <c r="I6" s="9" t="n">
        <v>-0.0807110783952889</v>
      </c>
    </row>
    <row r="7" customFormat="false" ht="15" hidden="false" customHeight="false" outlineLevel="0" collapsed="false">
      <c r="A7" s="2" t="s">
        <v>39</v>
      </c>
      <c r="B7" s="2" t="s">
        <v>37</v>
      </c>
      <c r="C7" s="2" t="n">
        <v>20</v>
      </c>
      <c r="D7" s="9" t="n">
        <v>-0.0208799641209191</v>
      </c>
      <c r="E7" s="9" t="n">
        <v>-0.178290156802366</v>
      </c>
      <c r="F7" s="9" t="n">
        <v>-0.194392084962932</v>
      </c>
      <c r="G7" s="9" t="n">
        <v>-0.176159408856227</v>
      </c>
      <c r="H7" s="9" t="n">
        <v>-0.212274656110273</v>
      </c>
      <c r="I7" s="9" t="n">
        <v>-0.0560300970132151</v>
      </c>
    </row>
    <row r="8" customFormat="false" ht="15" hidden="false" customHeight="false" outlineLevel="0" collapsed="false">
      <c r="A8" s="2" t="s">
        <v>40</v>
      </c>
      <c r="B8" s="2" t="s">
        <v>37</v>
      </c>
      <c r="C8" s="2" t="n">
        <v>5</v>
      </c>
      <c r="D8" s="9" t="n">
        <v>-0.0446841261361274</v>
      </c>
      <c r="E8" s="9" t="n">
        <v>-0.0513213844589663</v>
      </c>
      <c r="F8" s="9" t="n">
        <v>-0.117287323707829</v>
      </c>
      <c r="G8" s="9" t="n">
        <v>-0.0978552770819238</v>
      </c>
      <c r="H8" s="9" t="n">
        <v>-0.0976652621786003</v>
      </c>
      <c r="I8" s="9" t="n">
        <v>-0.0655458357432041</v>
      </c>
    </row>
    <row r="9" customFormat="false" ht="15" hidden="false" customHeight="false" outlineLevel="0" collapsed="false">
      <c r="A9" s="2" t="s">
        <v>40</v>
      </c>
      <c r="B9" s="2" t="s">
        <v>37</v>
      </c>
      <c r="C9" s="2" t="n">
        <v>10</v>
      </c>
      <c r="D9" s="9" t="n">
        <v>-0.0426785172778014</v>
      </c>
      <c r="E9" s="9" t="n">
        <v>-0.068054200316261</v>
      </c>
      <c r="F9" s="9" t="n">
        <v>-0.150045078386211</v>
      </c>
      <c r="G9" s="9" t="n">
        <v>-0.122173055117134</v>
      </c>
      <c r="H9" s="9" t="n">
        <v>-0.129871707434793</v>
      </c>
      <c r="I9" s="9" t="n">
        <v>-0.0897217519322782</v>
      </c>
    </row>
    <row r="10" customFormat="false" ht="15" hidden="false" customHeight="false" outlineLevel="0" collapsed="false">
      <c r="A10" s="2" t="s">
        <v>40</v>
      </c>
      <c r="B10" s="2" t="s">
        <v>37</v>
      </c>
      <c r="C10" s="2" t="n">
        <v>20</v>
      </c>
      <c r="D10" s="9" t="n">
        <v>-0.0220529827098217</v>
      </c>
      <c r="E10" s="9" t="n">
        <v>-0.0889219070255401</v>
      </c>
      <c r="F10" s="9" t="n">
        <v>-0.154702633180501</v>
      </c>
      <c r="G10" s="9" t="n">
        <v>-0.130534720948668</v>
      </c>
      <c r="H10" s="9" t="n">
        <v>-0.167364319008155</v>
      </c>
      <c r="I10" s="9" t="n">
        <v>-0.0879039034451149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47</v>
      </c>
    </row>
    <row r="2" customFormat="false" ht="15" hidden="false" customHeight="false" outlineLevel="0" collapsed="false">
      <c r="A2" s="4" t="s">
        <v>48</v>
      </c>
    </row>
    <row r="3" customFormat="false" ht="15" hidden="false" customHeight="false" outlineLevel="0" collapsed="false">
      <c r="A3" s="10" t="s">
        <v>49</v>
      </c>
    </row>
    <row r="4" customFormat="false" ht="15" hidden="false" customHeight="false" outlineLevel="0" collapsed="false">
      <c r="A4" s="4" t="s">
        <v>50</v>
      </c>
      <c r="B4" s="4" t="n">
        <v>2112</v>
      </c>
    </row>
    <row r="5" customFormat="false" ht="15" hidden="false" customHeight="false" outlineLevel="0" collapsed="false">
      <c r="A5" s="4" t="s">
        <v>51</v>
      </c>
      <c r="B5" s="4" t="n">
        <v>2339</v>
      </c>
    </row>
    <row r="6" customFormat="false" ht="15" hidden="false" customHeight="false" outlineLevel="0" collapsed="false">
      <c r="A6" s="4" t="s">
        <v>52</v>
      </c>
      <c r="B6" s="4" t="n">
        <v>1651</v>
      </c>
    </row>
    <row r="7" customFormat="false" ht="15" hidden="false" customHeight="false" outlineLevel="0" collapsed="false">
      <c r="A7" s="4" t="s">
        <v>53</v>
      </c>
      <c r="B7" s="4" t="n">
        <v>1435</v>
      </c>
    </row>
    <row r="8" customFormat="false" ht="15" hidden="false" customHeight="false" outlineLevel="0" collapsed="false">
      <c r="A8" s="4" t="s">
        <v>54</v>
      </c>
      <c r="B8" s="4" t="n">
        <v>1280</v>
      </c>
    </row>
    <row r="9" customFormat="false" ht="15" hidden="false" customHeight="false" outlineLevel="0" collapsed="false">
      <c r="A9" s="4" t="s">
        <v>55</v>
      </c>
      <c r="B9" s="4" t="n">
        <v>2330</v>
      </c>
    </row>
    <row r="10" customFormat="false" ht="15" hidden="false" customHeight="false" outlineLevel="0" collapsed="false">
      <c r="A10" s="4" t="s">
        <v>56</v>
      </c>
      <c r="B10" s="4" t="n">
        <v>2190</v>
      </c>
    </row>
    <row r="11" customFormat="false" ht="15" hidden="false" customHeight="false" outlineLevel="0" collapsed="false">
      <c r="A11" s="4" t="s">
        <v>57</v>
      </c>
      <c r="B11" s="4" t="n">
        <v>2457</v>
      </c>
    </row>
    <row r="12" customFormat="false" ht="15" hidden="false" customHeight="false" outlineLevel="0" collapsed="false">
      <c r="A12" s="4" t="s">
        <v>58</v>
      </c>
      <c r="B12" s="4" t="n">
        <v>1749</v>
      </c>
    </row>
    <row r="13" customFormat="false" ht="15" hidden="false" customHeight="false" outlineLevel="0" collapsed="false">
      <c r="A13" s="4" t="s">
        <v>59</v>
      </c>
      <c r="B13" s="4" t="n">
        <v>1370</v>
      </c>
    </row>
    <row r="14" customFormat="false" ht="15" hidden="false" customHeight="false" outlineLevel="0" collapsed="false">
      <c r="A14" s="4" t="s">
        <v>60</v>
      </c>
      <c r="B14" s="4" t="n">
        <v>2457</v>
      </c>
    </row>
    <row r="15" customFormat="false" ht="15" hidden="false" customHeight="false" outlineLevel="0" collapsed="false">
      <c r="A15" s="4" t="s">
        <v>61</v>
      </c>
      <c r="B15" s="4" t="n">
        <v>2209</v>
      </c>
    </row>
    <row r="16" customFormat="false" ht="15" hidden="false" customHeight="false" outlineLevel="0" collapsed="false">
      <c r="A16" s="4" t="s">
        <v>62</v>
      </c>
      <c r="B16" s="4" t="n">
        <v>2265</v>
      </c>
    </row>
    <row r="17" customFormat="false" ht="15" hidden="false" customHeight="false" outlineLevel="0" collapsed="false">
      <c r="A17" s="4" t="s">
        <v>63</v>
      </c>
      <c r="B17" s="4" t="n">
        <v>2219</v>
      </c>
    </row>
    <row r="18" customFormat="false" ht="15" hidden="false" customHeight="false" outlineLevel="0" collapsed="false">
      <c r="A18" s="4" t="s">
        <v>64</v>
      </c>
      <c r="B18" s="4" t="n">
        <v>1841</v>
      </c>
    </row>
    <row r="19" customFormat="false" ht="15" hidden="false" customHeight="false" outlineLevel="0" collapsed="false">
      <c r="A19" s="4" t="s">
        <v>65</v>
      </c>
      <c r="B19" s="4" t="n">
        <v>371</v>
      </c>
    </row>
    <row r="20" customFormat="false" ht="15" hidden="false" customHeight="false" outlineLevel="0" collapsed="false">
      <c r="A20" s="4" t="s">
        <v>66</v>
      </c>
      <c r="B20" s="4" t="n">
        <v>2457</v>
      </c>
    </row>
    <row r="21" customFormat="false" ht="15" hidden="false" customHeight="false" outlineLevel="0" collapsed="false">
      <c r="A21" s="4" t="s">
        <v>67</v>
      </c>
      <c r="B21" s="4" t="n">
        <v>2457</v>
      </c>
    </row>
    <row r="22" customFormat="false" ht="15" hidden="false" customHeight="false" outlineLevel="0" collapsed="false">
      <c r="A22" s="4" t="s">
        <v>68</v>
      </c>
      <c r="B22" s="4" t="n">
        <v>2254</v>
      </c>
    </row>
    <row r="23" customFormat="false" ht="15" hidden="false" customHeight="false" outlineLevel="0" collapsed="false">
      <c r="A23" s="4" t="s">
        <v>69</v>
      </c>
      <c r="B23" s="4" t="n">
        <v>579</v>
      </c>
    </row>
    <row r="24" customFormat="false" ht="15" hidden="false" customHeight="false" outlineLevel="0" collapsed="false">
      <c r="A24" s="4" t="s">
        <v>70</v>
      </c>
      <c r="B24" s="4" t="n">
        <v>1957</v>
      </c>
    </row>
    <row r="25" customFormat="false" ht="15" hidden="false" customHeight="false" outlineLevel="0" collapsed="false">
      <c r="A25" s="4" t="s">
        <v>71</v>
      </c>
      <c r="B25" s="4" t="n">
        <v>1028</v>
      </c>
    </row>
    <row r="26" customFormat="false" ht="15" hidden="false" customHeight="false" outlineLevel="0" collapsed="false">
      <c r="A26" s="4" t="s">
        <v>72</v>
      </c>
      <c r="B26" s="4" t="n">
        <v>2389</v>
      </c>
    </row>
    <row r="27" customFormat="false" ht="15" hidden="false" customHeight="false" outlineLevel="0" collapsed="false">
      <c r="A27" s="4" t="s">
        <v>73</v>
      </c>
      <c r="B27" s="4" t="n">
        <v>2457</v>
      </c>
    </row>
    <row r="28" customFormat="false" ht="15" hidden="false" customHeight="false" outlineLevel="0" collapsed="false">
      <c r="A28" s="4" t="s">
        <v>74</v>
      </c>
      <c r="B28" s="4" t="n">
        <v>2101</v>
      </c>
    </row>
    <row r="29" customFormat="false" ht="15" hidden="false" customHeight="false" outlineLevel="0" collapsed="false">
      <c r="A29" s="4" t="s">
        <v>75</v>
      </c>
      <c r="B29" s="4" t="n">
        <v>778</v>
      </c>
    </row>
    <row r="30" customFormat="false" ht="15" hidden="false" customHeight="false" outlineLevel="0" collapsed="false">
      <c r="A30" s="4" t="s">
        <v>76</v>
      </c>
      <c r="B30" s="4" t="n">
        <v>1575</v>
      </c>
    </row>
    <row r="31" customFormat="false" ht="15" hidden="false" customHeight="false" outlineLevel="0" collapsed="false">
      <c r="A31" s="4" t="s">
        <v>77</v>
      </c>
      <c r="B31" s="4" t="n">
        <v>1239</v>
      </c>
    </row>
    <row r="32" customFormat="false" ht="15" hidden="false" customHeight="false" outlineLevel="0" collapsed="false">
      <c r="A32" s="4" t="s">
        <v>78</v>
      </c>
      <c r="B32" s="4" t="n">
        <v>1999</v>
      </c>
    </row>
    <row r="33" customFormat="false" ht="15" hidden="false" customHeight="false" outlineLevel="0" collapsed="false">
      <c r="A33" s="4" t="s">
        <v>79</v>
      </c>
      <c r="B33" s="4" t="n">
        <v>1962</v>
      </c>
    </row>
    <row r="34" customFormat="false" ht="15" hidden="false" customHeight="false" outlineLevel="0" collapsed="false">
      <c r="A34" s="4" t="s">
        <v>80</v>
      </c>
      <c r="B34" s="4" t="n">
        <v>2069</v>
      </c>
    </row>
    <row r="35" customFormat="false" ht="15" hidden="false" customHeight="false" outlineLevel="0" collapsed="false">
      <c r="A35" s="4" t="s">
        <v>81</v>
      </c>
      <c r="B35" s="4" t="n">
        <v>1237</v>
      </c>
    </row>
    <row r="36" customFormat="false" ht="15" hidden="false" customHeight="false" outlineLevel="0" collapsed="false">
      <c r="A36" s="4" t="s">
        <v>82</v>
      </c>
      <c r="B36" s="4" t="n">
        <v>733</v>
      </c>
    </row>
    <row r="37" customFormat="false" ht="15" hidden="false" customHeight="false" outlineLevel="0" collapsed="false">
      <c r="A37" s="4" t="s">
        <v>83</v>
      </c>
      <c r="B37" s="4" t="n">
        <v>1058</v>
      </c>
    </row>
    <row r="38" customFormat="false" ht="15" hidden="false" customHeight="false" outlineLevel="0" collapsed="false">
      <c r="A38" s="4" t="s">
        <v>84</v>
      </c>
      <c r="B38" s="4" t="n">
        <v>2457</v>
      </c>
    </row>
    <row r="39" customFormat="false" ht="15" hidden="false" customHeight="false" outlineLevel="0" collapsed="false">
      <c r="A39" s="4" t="s">
        <v>85</v>
      </c>
      <c r="B39" s="4" t="n">
        <v>2196</v>
      </c>
    </row>
    <row r="40" customFormat="false" ht="15" hidden="false" customHeight="false" outlineLevel="0" collapsed="false">
      <c r="A40" s="4" t="s">
        <v>86</v>
      </c>
      <c r="B40" s="4" t="n">
        <v>891</v>
      </c>
    </row>
    <row r="41" customFormat="false" ht="15" hidden="false" customHeight="false" outlineLevel="0" collapsed="false">
      <c r="A41" s="4" t="s">
        <v>87</v>
      </c>
      <c r="B41" s="4" t="n">
        <v>1157</v>
      </c>
    </row>
    <row r="42" customFormat="false" ht="15" hidden="false" customHeight="false" outlineLevel="0" collapsed="false">
      <c r="A42" s="4" t="s">
        <v>88</v>
      </c>
      <c r="B42" s="4" t="n">
        <v>2325</v>
      </c>
    </row>
    <row r="43" customFormat="false" ht="15" hidden="false" customHeight="false" outlineLevel="0" collapsed="false">
      <c r="A43" s="4" t="s">
        <v>89</v>
      </c>
      <c r="B43" s="4" t="n">
        <v>2457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1" t="s">
        <v>90</v>
      </c>
    </row>
    <row r="2" customFormat="false" ht="15" hidden="false" customHeight="false" outlineLevel="0" collapsed="false">
      <c r="A2" s="11" t="s">
        <v>91</v>
      </c>
    </row>
    <row r="3" customFormat="false" ht="15" hidden="false" customHeight="false" outlineLevel="0" collapsed="false">
      <c r="A3" s="11" t="s">
        <v>92</v>
      </c>
    </row>
    <row r="4" customFormat="false" ht="15" hidden="false" customHeight="false" outlineLevel="0" collapsed="false">
      <c r="A4" s="11"/>
    </row>
    <row r="5" customFormat="false" ht="15" hidden="false" customHeight="false" outlineLevel="0" collapsed="false">
      <c r="A5" s="11" t="s">
        <v>93</v>
      </c>
    </row>
    <row r="6" customFormat="false" ht="15" hidden="false" customHeight="false" outlineLevel="0" collapsed="false">
      <c r="A6" s="11" t="s">
        <v>94</v>
      </c>
    </row>
    <row r="7" customFormat="false" ht="15" hidden="false" customHeight="false" outlineLevel="0" collapsed="false">
      <c r="A7" s="11" t="s">
        <v>95</v>
      </c>
    </row>
    <row r="8" customFormat="false" ht="15" hidden="false" customHeight="false" outlineLevel="0" collapsed="false">
      <c r="A8" s="11" t="s">
        <v>96</v>
      </c>
    </row>
    <row r="9" customFormat="false" ht="15" hidden="false" customHeight="false" outlineLevel="0" collapsed="false">
      <c r="A9" s="11" t="s">
        <v>97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1" t="s">
        <v>98</v>
      </c>
    </row>
    <row r="12" customFormat="false" ht="15" hidden="false" customHeight="false" outlineLevel="0" collapsed="false">
      <c r="A12" s="11" t="s">
        <v>99</v>
      </c>
    </row>
    <row r="13" customFormat="false" ht="15" hidden="false" customHeight="false" outlineLevel="0" collapsed="false">
      <c r="A13" s="11" t="s">
        <v>100</v>
      </c>
    </row>
    <row r="14" customFormat="false" ht="15" hidden="false" customHeight="false" outlineLevel="0" collapsed="false">
      <c r="A14" s="11" t="s">
        <v>101</v>
      </c>
    </row>
    <row r="15" customFormat="false" ht="15" hidden="false" customHeight="false" outlineLevel="0" collapsed="false">
      <c r="A15" s="11" t="s">
        <v>102</v>
      </c>
    </row>
    <row r="16" customFormat="false" ht="15" hidden="false" customHeight="false" outlineLevel="0" collapsed="false">
      <c r="A16" s="11"/>
    </row>
    <row r="17" customFormat="false" ht="15" hidden="false" customHeight="false" outlineLevel="0" collapsed="false">
      <c r="A17" s="11" t="s">
        <v>103</v>
      </c>
    </row>
    <row r="18" customFormat="false" ht="15" hidden="false" customHeight="false" outlineLevel="0" collapsed="false">
      <c r="A18" s="11" t="s">
        <v>104</v>
      </c>
    </row>
    <row r="19" customFormat="false" ht="15" hidden="false" customHeight="false" outlineLevel="0" collapsed="false">
      <c r="A19" s="11"/>
    </row>
    <row r="20" customFormat="false" ht="15" hidden="false" customHeight="false" outlineLevel="0" collapsed="false">
      <c r="A20" s="11" t="s">
        <v>105</v>
      </c>
    </row>
    <row r="21" customFormat="false" ht="15" hidden="false" customHeight="false" outlineLevel="0" collapsed="false">
      <c r="A21" s="11" t="s">
        <v>106</v>
      </c>
    </row>
    <row r="22" customFormat="false" ht="15" hidden="false" customHeight="false" outlineLevel="0" collapsed="false">
      <c r="A22" s="11"/>
    </row>
    <row r="23" customFormat="false" ht="15" hidden="false" customHeight="false" outlineLevel="0" collapsed="false">
      <c r="A23" s="11" t="s">
        <v>107</v>
      </c>
    </row>
    <row r="24" customFormat="false" ht="15" hidden="false" customHeight="false" outlineLevel="0" collapsed="false">
      <c r="A24" s="11"/>
    </row>
    <row r="25" customFormat="false" ht="15" hidden="false" customHeight="false" outlineLevel="0" collapsed="false">
      <c r="A25" s="11" t="s">
        <v>108</v>
      </c>
    </row>
    <row r="26" customFormat="false" ht="15" hidden="false" customHeight="false" outlineLevel="0" collapsed="false">
      <c r="A26" s="1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2026-10-13T19:23:26Z</dcterms:created>
  <dc:creator>openpyxl</dc:creator>
  <dc:description/>
  <dc:language>en-US</dc:language>
  <cp:lastModifiedBy/>
  <dcterms:modified xsi:type="dcterms:W3CDTF">2026-10-13T19:23:26Z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