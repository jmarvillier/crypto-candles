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Tests" sheetId="2" state="visible" r:id="rId4"/>
    <sheet name="Par année" sheetId="3" state="visible" r:id="rId5"/>
    <sheet name="Contrôles" sheetId="4" state="visible" r:id="rId6"/>
    <sheet name="Protoco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<sst xmlns="http://schemas.openxmlformats.org/spreadsheetml/2006/main" count="177" uniqueCount="107">
  <si>
    <t xml:space="preserve">crypto-edge-lab — btc-leadlag-v1</t>
  </si>
  <si>
    <t xml:space="preserve">Type feature · perp 1h · horizons [1, 2, 4] barres · cible res · coût aller-retour 0.15% par jambe</t>
  </si>
  <si>
    <t xml:space="preserve">IS 2021-01-01 → 2024-06-30 · OOS 2024-07-01 → 2026-10-13 · 40 actifs · look-ahead OK · run 2026-10-13T21:23:48</t>
  </si>
  <si>
    <t xml:space="preserve">Verdicts</t>
  </si>
  <si>
    <t xml:space="preserve">CANDIDAT</t>
  </si>
  <si>
    <t xml:space="preserve">PISTE</t>
  </si>
  <si>
    <t xml:space="preserve">REJETÉ</t>
  </si>
  <si>
    <t xml:space="preserve">Total tests</t>
  </si>
  <si>
    <t xml:space="preserve">Lecture (à compléter par l'analyse) :</t>
  </si>
  <si>
    <t xml:space="preserve">feature</t>
  </si>
  <si>
    <t xml:space="preserve">test</t>
  </si>
  <si>
    <t xml:space="preserve">h</t>
  </si>
  <si>
    <t xml:space="preserve">sens_attendu</t>
  </si>
  <si>
    <t xml:space="preserve">t_IS</t>
  </si>
  <si>
    <t xml:space="preserve">n_dates_IS</t>
  </si>
  <si>
    <t xml:space="preserve">spread_IS</t>
  </si>
  <si>
    <t xml:space="preserve">actifs_moy_IS</t>
  </si>
  <si>
    <t xml:space="preserve">ic_IS</t>
  </si>
  <si>
    <t xml:space="preserve">t_OOS</t>
  </si>
  <si>
    <t xml:space="preserve">n_dates_OOS</t>
  </si>
  <si>
    <t xml:space="preserve">spread_OOS</t>
  </si>
  <si>
    <t xml:space="preserve">actifs_moy_OOS</t>
  </si>
  <si>
    <t xml:space="preserve">ic_OOS</t>
  </si>
  <si>
    <t xml:space="preserve">annees_ok</t>
  </si>
  <si>
    <t xml:space="preserve">annees_n</t>
  </si>
  <si>
    <t xml:space="preserve">p_OOS</t>
  </si>
  <si>
    <t xml:space="preserve">q_BH</t>
  </si>
  <si>
    <t xml:space="preserve">G1_signe</t>
  </si>
  <si>
    <t xml:space="preserve">G2_ic</t>
  </si>
  <si>
    <t xml:space="preserve">G3_t</t>
  </si>
  <si>
    <t xml:space="preserve">G4_fdr</t>
  </si>
  <si>
    <t xml:space="preserve">G5_IS=OOS</t>
  </si>
  <si>
    <t xml:space="preserve">G6_annees</t>
  </si>
  <si>
    <t xml:space="preserve">G7_net</t>
  </si>
  <si>
    <t xml:space="preserve">net_OOS</t>
  </si>
  <si>
    <t xml:space="preserve">verdict</t>
  </si>
  <si>
    <t xml:space="preserve">gap_btc_1h</t>
  </si>
  <si>
    <t xml:space="preserve">XS (res)</t>
  </si>
  <si>
    <t xml:space="preserve">✔</t>
  </si>
  <si>
    <t xml:space="preserve">✘</t>
  </si>
  <si>
    <t xml:space="preserve">gap_btc_3h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</si>
  <si>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</si>
  <si>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</si>
  <si>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</si>
  <si>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</si>
  <si>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</si>
  <si>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</si>
  <si>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Look-ahead : OK</t>
  </si>
  <si>
    <t xml:space="preserve">Features : gap_btc_1h, gap_btc_3h</t>
  </si>
  <si>
    <t xml:space="preserve">Barres avec signal défini, par actif :</t>
  </si>
  <si>
    <t xml:space="preserve">AAVE</t>
  </si>
  <si>
    <t xml:space="preserve">ADA</t>
  </si>
  <si>
    <t xml:space="preserve">APE</t>
  </si>
  <si>
    <t xml:space="preserve">APT</t>
  </si>
  <si>
    <t xml:space="preserve">ARB</t>
  </si>
  <si>
    <t xml:space="preserve">ATOM</t>
  </si>
  <si>
    <t xml:space="preserve">AVAX</t>
  </si>
  <si>
    <t xml:space="preserve">BCH</t>
  </si>
  <si>
    <t xml:space="preserve">BICO</t>
  </si>
  <si>
    <t xml:space="preserve">BNB</t>
  </si>
  <si>
    <t xml:space="preserve">BTC</t>
  </si>
  <si>
    <t xml:space="preserve">CRV</t>
  </si>
  <si>
    <t xml:space="preserve">DOGE</t>
  </si>
  <si>
    <t xml:space="preserve">DOT</t>
  </si>
  <si>
    <t xml:space="preserve">DYDX</t>
  </si>
  <si>
    <t xml:space="preserve">ENA</t>
  </si>
  <si>
    <t xml:space="preserve">ETC</t>
  </si>
  <si>
    <t xml:space="preserve">ETH</t>
  </si>
  <si>
    <t xml:space="preserve">FIL</t>
  </si>
  <si>
    <t xml:space="preserve">HYPE</t>
  </si>
  <si>
    <t xml:space="preserve">ICP</t>
  </si>
  <si>
    <t xml:space="preserve">INJ</t>
  </si>
  <si>
    <t xml:space="preserve">LINK</t>
  </si>
  <si>
    <t xml:space="preserve">LTC</t>
  </si>
  <si>
    <t xml:space="preserve">NEAR</t>
  </si>
  <si>
    <t xml:space="preserve">ONDO</t>
  </si>
  <si>
    <t xml:space="preserve">OP</t>
  </si>
  <si>
    <t xml:space="preserve">PEPE</t>
  </si>
  <si>
    <t xml:space="preserve">SAND</t>
  </si>
  <si>
    <t xml:space="preserve">SHIB</t>
  </si>
  <si>
    <t xml:space="preserve">SOL</t>
  </si>
  <si>
    <t xml:space="preserve">SUI</t>
  </si>
  <si>
    <t xml:space="preserve">TAO</t>
  </si>
  <si>
    <t xml:space="preserve">TIA</t>
  </si>
  <si>
    <t xml:space="preserve">TRX</t>
  </si>
  <si>
    <t xml:space="preserve">UNI</t>
  </si>
  <si>
    <t xml:space="preserve">WIF</t>
  </si>
  <si>
    <t xml:space="preserve">WLD</t>
  </si>
  <si>
    <t xml:space="preserve">XLM</t>
  </si>
  <si>
    <t xml:space="preserve">XRP</t>
  </si>
  <si>
    <t xml:space="preserve"># btc-leadlag-v1 — pré-enregistrement</t>
  </si>
  <si>
    <t xml:space="preserve">Figé le 2026-10-13, AVANT le premier run. Contrôle look-ahead passé (40 actifs).</t>
  </si>
  <si>
    <t xml:space="preserve">Statut : GO de Jérémie reçu le 2026-10-13 avant tout run (protocole inchangé).</t>
  </si>
  <si>
    <t xml:space="preserve">## Hypothèse</t>
  </si>
  <si>
    <t xml:space="preserve">- Les alts intègrent les mouvements de BTC avec retard : une alt « en retard » sur BTC sur 1–3 h rattrape ensuite.</t>
  </si>
  <si>
    <t xml:space="preserve">- Mécanisme : diffusion lente de l'information du marché directeur vers les carnets moins liquides (lead-lag documenté sur actions et crypto). Payé par les teneurs de marché lents à réajuster.</t>
  </si>
  <si>
    <t xml:space="preserve">- Falsification : IC OOS ≤ 0 ou non significatif ; ou effet réel mais sous le plancher de coûts (attendu probable vu l'historique intraday — on le mesure quand même pour fermer la question).</t>
  </si>
  <si>
    <t xml:space="preserve">## Signal (feature, 1h)</t>
  </si>
  <si>
    <t xml:space="preserve">- gap_btc_kh = β30j(décalé 1 barre) × r_BTC(k h) − r_alt(k h), k = 1 et 3.</t>
  </si>
  <si>
    <t xml:space="preserve">- Sens attendu : +1.</t>
  </si>
  <si>
    <t xml:space="preserve">## Données et fenêtres</t>
  </si>
  <si>
    <t xml:space="preserve">- perp 1h, 40 actifs. IS 2021-01-01 → 2024-06-30 ; OOS 2024-07-01 → aujourd'hui.</t>
  </si>
  <si>
    <t xml:space="preserve">## Tests</t>
  </si>
  <si>
    <t xml:space="preserve">- XS, cible res (β 720 barres), h = 1, 2, 4 h. Coût 0,15 %/jambe.</t>
  </si>
  <si>
    <t xml:space="preserve">## Gates — défaut methodology §3, BH sur les 6 tests du run.</t>
  </si>
  <si>
    <t xml:space="preserve">## Suite</t>
  </si>
  <si>
    <t xml:space="preserve">Même règle. Rappel : un CANDIDAT intraday doit en plus passer le test frais maker vs taker en backtest.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</si>
</sst>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4" t="n">
        <f aca="false">COUNTIF(Tests!$AA$2:$AA$7,"CANDIDAT")</f>
        <v>0</v>
      </c>
    </row>
    <row r="7" customFormat="false" ht="15" hidden="false" customHeight="false" outlineLevel="0" collapsed="false">
      <c r="A7" s="4" t="s">
        <v>5</v>
      </c>
      <c r="B7" s="4" t="n">
        <f aca="false">COUNTIF(Tests!$AA$2:$AA$7,"PISTE")</f>
        <v>6</v>
      </c>
    </row>
    <row r="8" customFormat="false" ht="15" hidden="false" customHeight="false" outlineLevel="0" collapsed="false">
      <c r="A8" s="4" t="s">
        <v>6</v>
      </c>
      <c r="B8" s="4" t="n">
        <f aca="false">COUNTIF(Tests!$AA$2:$AA$7,"REJETÉ")</f>
        <v>0</v>
      </c>
    </row>
    <row r="9" customFormat="false" ht="15" hidden="false" customHeight="false" outlineLevel="0" collapsed="false">
      <c r="A9" s="3" t="s">
        <v>7</v>
      </c>
      <c r="B9" s="3" t="n">
        <f aca="false">SUM(B6:B8)</f>
        <v>6</v>
      </c>
    </row>
    <row r="11" customFormat="false" ht="15" hidden="false" customHeight="false" outlineLevel="0" collapsed="false">
      <c r="A1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0"/>
    <col collapsed="false" customWidth="true" hidden="false" outlineLevel="0" max="19" min="19" style="0" width="11"/>
    <col collapsed="false" customWidth="true" hidden="false" outlineLevel="0" max="22" min="20" style="0" width="10"/>
    <col collapsed="false" customWidth="true" hidden="false" outlineLevel="0" max="24" min="23" style="0" width="12"/>
    <col collapsed="false" customWidth="true" hidden="false" outlineLevel="0" max="27" min="25" style="0" width="10"/>
  </cols>
  <sheetData>
    <row r="1" customFormat="false" ht="26.8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27</v>
      </c>
      <c r="T1" s="5" t="s">
        <v>28</v>
      </c>
      <c r="U1" s="5" t="s">
        <v>29</v>
      </c>
      <c r="V1" s="5" t="s">
        <v>30</v>
      </c>
      <c r="W1" s="5" t="s">
        <v>31</v>
      </c>
      <c r="X1" s="5" t="s">
        <v>32</v>
      </c>
      <c r="Y1" s="5" t="s">
        <v>33</v>
      </c>
      <c r="Z1" s="5" t="s">
        <v>34</v>
      </c>
      <c r="AA1" s="5" t="s">
        <v>35</v>
      </c>
    </row>
    <row r="2" customFormat="false" ht="15" hidden="false" customHeight="false" outlineLevel="0" collapsed="false">
      <c r="A2" s="6" t="s">
        <v>36</v>
      </c>
      <c r="B2" s="6" t="s">
        <v>37</v>
      </c>
      <c r="C2" s="6" t="n">
        <v>1</v>
      </c>
      <c r="D2" s="6" t="n">
        <v>1</v>
      </c>
      <c r="E2" s="7" t="n">
        <v>43.5730544387723</v>
      </c>
      <c r="F2" s="6" t="n">
        <v>30615</v>
      </c>
      <c r="G2" s="8" t="n">
        <v>0.0004991588079457</v>
      </c>
      <c r="H2" s="7" t="n">
        <v>26.701682181937</v>
      </c>
      <c r="I2" s="7" t="n">
        <v>0.0604589294523799</v>
      </c>
      <c r="J2" s="7" t="n">
        <v>16.5970370240128</v>
      </c>
      <c r="K2" s="6" t="n">
        <v>20015</v>
      </c>
      <c r="L2" s="8" t="n">
        <v>5.23565796222261E-005</v>
      </c>
      <c r="M2" s="7" t="n">
        <v>37.9013739695229</v>
      </c>
      <c r="N2" s="7" t="n">
        <v>0.0261492659500789</v>
      </c>
      <c r="O2" s="6" t="n">
        <v>6</v>
      </c>
      <c r="P2" s="6" t="n">
        <v>6</v>
      </c>
      <c r="Q2" s="7" t="n">
        <v>7.32170584830763E-062</v>
      </c>
      <c r="R2" s="7" t="n">
        <v>2.19651175449229E-061</v>
      </c>
      <c r="S2" s="6" t="s">
        <v>38</v>
      </c>
      <c r="T2" s="6" t="s">
        <v>38</v>
      </c>
      <c r="U2" s="6" t="s">
        <v>38</v>
      </c>
      <c r="V2" s="6" t="s">
        <v>38</v>
      </c>
      <c r="W2" s="6" t="s">
        <v>38</v>
      </c>
      <c r="X2" s="6" t="s">
        <v>38</v>
      </c>
      <c r="Y2" s="6" t="s">
        <v>39</v>
      </c>
      <c r="Z2" s="8" t="n">
        <v>-0.0029476434203777</v>
      </c>
      <c r="AA2" s="6" t="s">
        <v>5</v>
      </c>
    </row>
    <row r="3" customFormat="false" ht="15" hidden="false" customHeight="false" outlineLevel="0" collapsed="false">
      <c r="A3" s="6" t="s">
        <v>36</v>
      </c>
      <c r="B3" s="6" t="s">
        <v>37</v>
      </c>
      <c r="C3" s="6" t="n">
        <v>2</v>
      </c>
      <c r="D3" s="6" t="n">
        <v>1</v>
      </c>
      <c r="E3" s="7" t="n">
        <v>39.0045668865267</v>
      </c>
      <c r="F3" s="6" t="n">
        <v>30615</v>
      </c>
      <c r="G3" s="8" t="n">
        <v>0.0006876151660174</v>
      </c>
      <c r="H3" s="7" t="n">
        <v>26.701682181937</v>
      </c>
      <c r="I3" s="7" t="n">
        <v>0.0542365885563969</v>
      </c>
      <c r="J3" s="7" t="n">
        <v>15.3311008912241</v>
      </c>
      <c r="K3" s="6" t="n">
        <v>20014</v>
      </c>
      <c r="L3" s="8" t="n">
        <v>6.18297233974104E-005</v>
      </c>
      <c r="M3" s="7" t="n">
        <v>37.9013190766464</v>
      </c>
      <c r="N3" s="7" t="n">
        <v>0.0238761273173511</v>
      </c>
      <c r="O3" s="6" t="n">
        <v>6</v>
      </c>
      <c r="P3" s="6" t="n">
        <v>6</v>
      </c>
      <c r="Q3" s="7" t="n">
        <v>4.7388646819659E-053</v>
      </c>
      <c r="R3" s="7" t="n">
        <v>7.10829702294886E-053</v>
      </c>
      <c r="S3" s="6" t="s">
        <v>38</v>
      </c>
      <c r="T3" s="6" t="s">
        <v>38</v>
      </c>
      <c r="U3" s="6" t="s">
        <v>38</v>
      </c>
      <c r="V3" s="6" t="s">
        <v>38</v>
      </c>
      <c r="W3" s="6" t="s">
        <v>38</v>
      </c>
      <c r="X3" s="6" t="s">
        <v>38</v>
      </c>
      <c r="Y3" s="6" t="s">
        <v>39</v>
      </c>
      <c r="Z3" s="8" t="n">
        <v>-0.0029381702766025</v>
      </c>
      <c r="AA3" s="6" t="s">
        <v>5</v>
      </c>
    </row>
    <row r="4" customFormat="false" ht="15" hidden="false" customHeight="false" outlineLevel="0" collapsed="false">
      <c r="A4" s="6" t="s">
        <v>36</v>
      </c>
      <c r="B4" s="6" t="s">
        <v>37</v>
      </c>
      <c r="C4" s="6" t="n">
        <v>4</v>
      </c>
      <c r="D4" s="6" t="n">
        <v>1</v>
      </c>
      <c r="E4" s="7" t="n">
        <v>29.4759667548131</v>
      </c>
      <c r="F4" s="6" t="n">
        <v>30615</v>
      </c>
      <c r="G4" s="8" t="n">
        <v>0.0005563208159347</v>
      </c>
      <c r="H4" s="7" t="n">
        <v>26.701682181937</v>
      </c>
      <c r="I4" s="7" t="n">
        <v>0.0408196033559381</v>
      </c>
      <c r="J4" s="7" t="n">
        <v>14.6765820992991</v>
      </c>
      <c r="K4" s="6" t="n">
        <v>20012</v>
      </c>
      <c r="L4" s="8" t="n">
        <v>0.0001312462168137</v>
      </c>
      <c r="M4" s="7" t="n">
        <v>37.9012092744353</v>
      </c>
      <c r="N4" s="7" t="n">
        <v>0.023292508389139</v>
      </c>
      <c r="O4" s="6" t="n">
        <v>6</v>
      </c>
      <c r="P4" s="6" t="n">
        <v>6</v>
      </c>
      <c r="Q4" s="7" t="n">
        <v>9.10664331723908E-049</v>
      </c>
      <c r="R4" s="7" t="n">
        <v>1.09279719806869E-048</v>
      </c>
      <c r="S4" s="6" t="s">
        <v>38</v>
      </c>
      <c r="T4" s="6" t="s">
        <v>38</v>
      </c>
      <c r="U4" s="6" t="s">
        <v>38</v>
      </c>
      <c r="V4" s="6" t="s">
        <v>38</v>
      </c>
      <c r="W4" s="6" t="s">
        <v>38</v>
      </c>
      <c r="X4" s="6" t="s">
        <v>38</v>
      </c>
      <c r="Y4" s="6" t="s">
        <v>39</v>
      </c>
      <c r="Z4" s="8" t="n">
        <v>-0.0028687537831862</v>
      </c>
      <c r="AA4" s="6" t="s">
        <v>5</v>
      </c>
    </row>
    <row r="5" customFormat="false" ht="15" hidden="false" customHeight="false" outlineLevel="0" collapsed="false">
      <c r="A5" s="6" t="s">
        <v>40</v>
      </c>
      <c r="B5" s="6" t="s">
        <v>37</v>
      </c>
      <c r="C5" s="6" t="n">
        <v>1</v>
      </c>
      <c r="D5" s="6" t="n">
        <v>1</v>
      </c>
      <c r="E5" s="7" t="n">
        <v>42.4039664953981</v>
      </c>
      <c r="F5" s="6" t="n">
        <v>30615</v>
      </c>
      <c r="G5" s="8" t="n">
        <v>0.0003924423601763</v>
      </c>
      <c r="H5" s="7" t="n">
        <v>26.701682181937</v>
      </c>
      <c r="I5" s="7" t="n">
        <v>0.0599308730531844</v>
      </c>
      <c r="J5" s="7" t="n">
        <v>18.727836795557</v>
      </c>
      <c r="K5" s="6" t="n">
        <v>20015</v>
      </c>
      <c r="L5" s="8" t="n">
        <v>7.28081439270815E-005</v>
      </c>
      <c r="M5" s="7" t="n">
        <v>37.9013739695229</v>
      </c>
      <c r="N5" s="7" t="n">
        <v>0.0298123589210268</v>
      </c>
      <c r="O5" s="6" t="n">
        <v>6</v>
      </c>
      <c r="P5" s="6" t="n">
        <v>6</v>
      </c>
      <c r="Q5" s="7" t="n">
        <v>2.93605906110045E-078</v>
      </c>
      <c r="R5" s="7" t="n">
        <v>1.76163543666027E-077</v>
      </c>
      <c r="S5" s="6" t="s">
        <v>38</v>
      </c>
      <c r="T5" s="6" t="s">
        <v>38</v>
      </c>
      <c r="U5" s="6" t="s">
        <v>38</v>
      </c>
      <c r="V5" s="6" t="s">
        <v>38</v>
      </c>
      <c r="W5" s="6" t="s">
        <v>38</v>
      </c>
      <c r="X5" s="6" t="s">
        <v>38</v>
      </c>
      <c r="Y5" s="6" t="s">
        <v>39</v>
      </c>
      <c r="Z5" s="8" t="n">
        <v>-0.0029271918560729</v>
      </c>
      <c r="AA5" s="6" t="s">
        <v>5</v>
      </c>
    </row>
    <row r="6" customFormat="false" ht="15" hidden="false" customHeight="false" outlineLevel="0" collapsed="false">
      <c r="A6" s="6" t="s">
        <v>40</v>
      </c>
      <c r="B6" s="6" t="s">
        <v>37</v>
      </c>
      <c r="C6" s="6" t="n">
        <v>2</v>
      </c>
      <c r="D6" s="6" t="n">
        <v>1</v>
      </c>
      <c r="E6" s="7" t="n">
        <v>33.138634237816</v>
      </c>
      <c r="F6" s="6" t="n">
        <v>30615</v>
      </c>
      <c r="G6" s="8" t="n">
        <v>0.0004137963646937</v>
      </c>
      <c r="H6" s="7" t="n">
        <v>26.701682181937</v>
      </c>
      <c r="I6" s="7" t="n">
        <v>0.0548441243569688</v>
      </c>
      <c r="J6" s="7" t="n">
        <v>16.3080378591023</v>
      </c>
      <c r="K6" s="6" t="n">
        <v>20014</v>
      </c>
      <c r="L6" s="8" t="n">
        <v>9.98252096912912E-005</v>
      </c>
      <c r="M6" s="7" t="n">
        <v>37.9013190766464</v>
      </c>
      <c r="N6" s="7" t="n">
        <v>0.030741496052237</v>
      </c>
      <c r="O6" s="6" t="n">
        <v>6</v>
      </c>
      <c r="P6" s="6" t="n">
        <v>6</v>
      </c>
      <c r="Q6" s="7" t="n">
        <v>8.65278595489387E-060</v>
      </c>
      <c r="R6" s="7" t="n">
        <v>1.73055719097877E-059</v>
      </c>
      <c r="S6" s="6" t="s">
        <v>38</v>
      </c>
      <c r="T6" s="6" t="s">
        <v>38</v>
      </c>
      <c r="U6" s="6" t="s">
        <v>38</v>
      </c>
      <c r="V6" s="6" t="s">
        <v>38</v>
      </c>
      <c r="W6" s="6" t="s">
        <v>38</v>
      </c>
      <c r="X6" s="6" t="s">
        <v>38</v>
      </c>
      <c r="Y6" s="6" t="s">
        <v>39</v>
      </c>
      <c r="Z6" s="8" t="n">
        <v>-0.0029001747903087</v>
      </c>
      <c r="AA6" s="6" t="s">
        <v>5</v>
      </c>
    </row>
    <row r="7" customFormat="false" ht="15" hidden="false" customHeight="false" outlineLevel="0" collapsed="false">
      <c r="A7" s="6" t="s">
        <v>40</v>
      </c>
      <c r="B7" s="6" t="s">
        <v>37</v>
      </c>
      <c r="C7" s="6" t="n">
        <v>4</v>
      </c>
      <c r="D7" s="6" t="n">
        <v>1</v>
      </c>
      <c r="E7" s="7" t="n">
        <v>24.1242974687295</v>
      </c>
      <c r="F7" s="6" t="n">
        <v>30615</v>
      </c>
      <c r="G7" s="8" t="n">
        <v>0.0002922442889743</v>
      </c>
      <c r="H7" s="7" t="n">
        <v>26.701682181937</v>
      </c>
      <c r="I7" s="7" t="n">
        <v>0.0458974171528136</v>
      </c>
      <c r="J7" s="7" t="n">
        <v>13.634691025473</v>
      </c>
      <c r="K7" s="6" t="n">
        <v>20012</v>
      </c>
      <c r="L7" s="8" t="n">
        <v>0.0001522260700106</v>
      </c>
      <c r="M7" s="7" t="n">
        <v>37.9012092744353</v>
      </c>
      <c r="N7" s="7" t="n">
        <v>0.0300021227599819</v>
      </c>
      <c r="O7" s="6" t="n">
        <v>6</v>
      </c>
      <c r="P7" s="6" t="n">
        <v>6</v>
      </c>
      <c r="Q7" s="7" t="n">
        <v>2.49043378880255E-042</v>
      </c>
      <c r="R7" s="7" t="n">
        <v>2.49043378880255E-042</v>
      </c>
      <c r="S7" s="6" t="s">
        <v>38</v>
      </c>
      <c r="T7" s="6" t="s">
        <v>38</v>
      </c>
      <c r="U7" s="6" t="s">
        <v>38</v>
      </c>
      <c r="V7" s="6" t="s">
        <v>38</v>
      </c>
      <c r="W7" s="6" t="s">
        <v>38</v>
      </c>
      <c r="X7" s="6" t="s">
        <v>38</v>
      </c>
      <c r="Y7" s="6" t="s">
        <v>39</v>
      </c>
      <c r="Z7" s="8" t="n">
        <v>-0.0028477739299893</v>
      </c>
      <c r="AA7" s="6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0"/>
  </cols>
  <sheetData>
    <row r="1" customFormat="false" ht="15" hidden="false" customHeight="false" outlineLevel="0" collapsed="false">
      <c r="A1" s="5" t="s">
        <v>9</v>
      </c>
      <c r="B1" s="5" t="s">
        <v>10</v>
      </c>
      <c r="C1" s="5" t="s">
        <v>11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</row>
    <row r="2" customFormat="false" ht="15" hidden="false" customHeight="false" outlineLevel="0" collapsed="false">
      <c r="A2" s="2" t="s">
        <v>36</v>
      </c>
      <c r="B2" s="2" t="s">
        <v>37</v>
      </c>
      <c r="C2" s="2" t="n">
        <v>1</v>
      </c>
      <c r="D2" s="9" t="n">
        <v>0.0803538443649464</v>
      </c>
      <c r="E2" s="9" t="n">
        <v>0.0660798704413553</v>
      </c>
      <c r="F2" s="9" t="n">
        <v>0.0550191571853948</v>
      </c>
      <c r="G2" s="9" t="n">
        <v>0.0241671513941099</v>
      </c>
      <c r="H2" s="9" t="n">
        <v>0.0213233779645099</v>
      </c>
      <c r="I2" s="9" t="n">
        <v>0.0309079954502917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n">
        <v>2</v>
      </c>
      <c r="D3" s="9" t="n">
        <v>0.0676553946499137</v>
      </c>
      <c r="E3" s="9" t="n">
        <v>0.0618979251387113</v>
      </c>
      <c r="F3" s="9" t="n">
        <v>0.0498274978683182</v>
      </c>
      <c r="G3" s="9" t="n">
        <v>0.0219802830094693</v>
      </c>
      <c r="H3" s="9" t="n">
        <v>0.0211317597754151</v>
      </c>
      <c r="I3" s="9" t="n">
        <v>0.0276760331732166</v>
      </c>
    </row>
    <row r="4" customFormat="false" ht="15" hidden="false" customHeight="false" outlineLevel="0" collapsed="false">
      <c r="A4" s="2" t="s">
        <v>36</v>
      </c>
      <c r="B4" s="2" t="s">
        <v>37</v>
      </c>
      <c r="C4" s="2" t="n">
        <v>4</v>
      </c>
      <c r="D4" s="9" t="n">
        <v>0.0472274328776732</v>
      </c>
      <c r="E4" s="9" t="n">
        <v>0.0497989025685358</v>
      </c>
      <c r="F4" s="9" t="n">
        <v>0.0375130553614998</v>
      </c>
      <c r="G4" s="9" t="n">
        <v>0.0202314392315841</v>
      </c>
      <c r="H4" s="9" t="n">
        <v>0.0200012216198229</v>
      </c>
      <c r="I4" s="9" t="n">
        <v>0.0270002784168137</v>
      </c>
    </row>
    <row r="5" customFormat="false" ht="15" hidden="false" customHeight="false" outlineLevel="0" collapsed="false">
      <c r="A5" s="2" t="s">
        <v>40</v>
      </c>
      <c r="B5" s="2" t="s">
        <v>37</v>
      </c>
      <c r="C5" s="2" t="n">
        <v>1</v>
      </c>
      <c r="D5" s="9" t="n">
        <v>0.0732611903043701</v>
      </c>
      <c r="E5" s="9" t="n">
        <v>0.0694244078780605</v>
      </c>
      <c r="F5" s="9" t="n">
        <v>0.0554146825430563</v>
      </c>
      <c r="G5" s="9" t="n">
        <v>0.0272274591290938</v>
      </c>
      <c r="H5" s="9" t="n">
        <v>0.0250657709453671</v>
      </c>
      <c r="I5" s="9" t="n">
        <v>0.0347629970775169</v>
      </c>
    </row>
    <row r="6" customFormat="false" ht="15" hidden="false" customHeight="false" outlineLevel="0" collapsed="false">
      <c r="A6" s="2" t="s">
        <v>40</v>
      </c>
      <c r="B6" s="2" t="s">
        <v>37</v>
      </c>
      <c r="C6" s="2" t="n">
        <v>2</v>
      </c>
      <c r="D6" s="9" t="n">
        <v>0.0618380055476093</v>
      </c>
      <c r="E6" s="9" t="n">
        <v>0.0681944050027524</v>
      </c>
      <c r="F6" s="9" t="n">
        <v>0.0503567526410973</v>
      </c>
      <c r="G6" s="9" t="n">
        <v>0.0269243832290568</v>
      </c>
      <c r="H6" s="9" t="n">
        <v>0.0268733040344431</v>
      </c>
      <c r="I6" s="9" t="n">
        <v>0.0354601354055877</v>
      </c>
    </row>
    <row r="7" customFormat="false" ht="15" hidden="false" customHeight="false" outlineLevel="0" collapsed="false">
      <c r="A7" s="2" t="s">
        <v>40</v>
      </c>
      <c r="B7" s="2" t="s">
        <v>37</v>
      </c>
      <c r="C7" s="2" t="n">
        <v>4</v>
      </c>
      <c r="D7" s="9" t="n">
        <v>0.0462838962515625</v>
      </c>
      <c r="E7" s="9" t="n">
        <v>0.0651722998069005</v>
      </c>
      <c r="F7" s="9" t="n">
        <v>0.0378959398359501</v>
      </c>
      <c r="G7" s="9" t="n">
        <v>0.0260053210863366</v>
      </c>
      <c r="H7" s="9" t="n">
        <v>0.0267744211129214</v>
      </c>
      <c r="I7" s="9" t="n">
        <v>0.0343305150394553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" t="s">
        <v>47</v>
      </c>
    </row>
    <row r="2" customFormat="false" ht="15" hidden="false" customHeight="false" outlineLevel="0" collapsed="false">
      <c r="A2" s="4" t="s">
        <v>48</v>
      </c>
    </row>
    <row r="3" customFormat="false" ht="15" hidden="false" customHeight="false" outlineLevel="0" collapsed="false">
      <c r="A3" s="10" t="s">
        <v>49</v>
      </c>
    </row>
    <row r="4" customFormat="false" ht="15" hidden="false" customHeight="false" outlineLevel="0" collapsed="false">
      <c r="A4" s="4" t="s">
        <v>50</v>
      </c>
      <c r="B4" s="4" t="n">
        <v>50694</v>
      </c>
    </row>
    <row r="5" customFormat="false" ht="15" hidden="false" customHeight="false" outlineLevel="0" collapsed="false">
      <c r="A5" s="4" t="s">
        <v>51</v>
      </c>
      <c r="B5" s="4" t="n">
        <v>55956</v>
      </c>
    </row>
    <row r="6" customFormat="false" ht="15" hidden="false" customHeight="false" outlineLevel="0" collapsed="false">
      <c r="A6" s="4" t="s">
        <v>52</v>
      </c>
      <c r="B6" s="4" t="n">
        <v>39601</v>
      </c>
    </row>
    <row r="7" customFormat="false" ht="15" hidden="false" customHeight="false" outlineLevel="0" collapsed="false">
      <c r="A7" s="4" t="s">
        <v>53</v>
      </c>
      <c r="B7" s="4" t="n">
        <v>34429</v>
      </c>
    </row>
    <row r="8" customFormat="false" ht="15" hidden="false" customHeight="false" outlineLevel="0" collapsed="false">
      <c r="A8" s="4" t="s">
        <v>54</v>
      </c>
      <c r="B8" s="4" t="n">
        <v>30705</v>
      </c>
    </row>
    <row r="9" customFormat="false" ht="15" hidden="false" customHeight="false" outlineLevel="0" collapsed="false">
      <c r="A9" s="4" t="s">
        <v>55</v>
      </c>
      <c r="B9" s="4" t="n">
        <v>55258</v>
      </c>
    </row>
    <row r="10" customFormat="false" ht="15" hidden="false" customHeight="false" outlineLevel="0" collapsed="false">
      <c r="A10" s="4" t="s">
        <v>56</v>
      </c>
      <c r="B10" s="4" t="n">
        <v>52567</v>
      </c>
    </row>
    <row r="11" customFormat="false" ht="15" hidden="false" customHeight="false" outlineLevel="0" collapsed="false">
      <c r="A11" s="4" t="s">
        <v>57</v>
      </c>
      <c r="B11" s="4" t="n">
        <v>58956</v>
      </c>
    </row>
    <row r="12" customFormat="false" ht="15" hidden="false" customHeight="false" outlineLevel="0" collapsed="false">
      <c r="A12" s="4" t="s">
        <v>58</v>
      </c>
      <c r="B12" s="4" t="n">
        <v>41950</v>
      </c>
    </row>
    <row r="13" customFormat="false" ht="15" hidden="false" customHeight="false" outlineLevel="0" collapsed="false">
      <c r="A13" s="4" t="s">
        <v>59</v>
      </c>
      <c r="B13" s="4" t="n">
        <v>32873</v>
      </c>
    </row>
    <row r="14" customFormat="false" ht="15" hidden="false" customHeight="false" outlineLevel="0" collapsed="false">
      <c r="A14" s="4" t="s">
        <v>60</v>
      </c>
      <c r="B14" s="4" t="n">
        <v>58958</v>
      </c>
    </row>
    <row r="15" customFormat="false" ht="15" hidden="false" customHeight="false" outlineLevel="0" collapsed="false">
      <c r="A15" s="4" t="s">
        <v>61</v>
      </c>
      <c r="B15" s="4" t="n">
        <v>53021</v>
      </c>
    </row>
    <row r="16" customFormat="false" ht="15" hidden="false" customHeight="false" outlineLevel="0" collapsed="false">
      <c r="A16" s="4" t="s">
        <v>62</v>
      </c>
      <c r="B16" s="4" t="n">
        <v>54370</v>
      </c>
    </row>
    <row r="17" customFormat="false" ht="15" hidden="false" customHeight="false" outlineLevel="0" collapsed="false">
      <c r="A17" s="4" t="s">
        <v>63</v>
      </c>
      <c r="B17" s="4" t="n">
        <v>53264</v>
      </c>
    </row>
    <row r="18" customFormat="false" ht="15" hidden="false" customHeight="false" outlineLevel="0" collapsed="false">
      <c r="A18" s="4" t="s">
        <v>64</v>
      </c>
      <c r="B18" s="4" t="n">
        <v>44158</v>
      </c>
    </row>
    <row r="19" customFormat="false" ht="15" hidden="false" customHeight="false" outlineLevel="0" collapsed="false">
      <c r="A19" s="4" t="s">
        <v>65</v>
      </c>
      <c r="B19" s="4" t="n">
        <v>8896</v>
      </c>
    </row>
    <row r="20" customFormat="false" ht="15" hidden="false" customHeight="false" outlineLevel="0" collapsed="false">
      <c r="A20" s="4" t="s">
        <v>66</v>
      </c>
      <c r="B20" s="4" t="n">
        <v>58956</v>
      </c>
    </row>
    <row r="21" customFormat="false" ht="15" hidden="false" customHeight="false" outlineLevel="0" collapsed="false">
      <c r="A21" s="4" t="s">
        <v>67</v>
      </c>
      <c r="B21" s="4" t="n">
        <v>58957</v>
      </c>
    </row>
    <row r="22" customFormat="false" ht="15" hidden="false" customHeight="false" outlineLevel="0" collapsed="false">
      <c r="A22" s="4" t="s">
        <v>68</v>
      </c>
      <c r="B22" s="4" t="n">
        <v>53873</v>
      </c>
    </row>
    <row r="23" customFormat="false" ht="15" hidden="false" customHeight="false" outlineLevel="0" collapsed="false">
      <c r="A23" s="4" t="s">
        <v>69</v>
      </c>
      <c r="B23" s="4" t="n">
        <v>13888</v>
      </c>
    </row>
    <row r="24" customFormat="false" ht="15" hidden="false" customHeight="false" outlineLevel="0" collapsed="false">
      <c r="A24" s="4" t="s">
        <v>70</v>
      </c>
      <c r="B24" s="4" t="n">
        <v>46974</v>
      </c>
    </row>
    <row r="25" customFormat="false" ht="15" hidden="false" customHeight="false" outlineLevel="0" collapsed="false">
      <c r="A25" s="4" t="s">
        <v>71</v>
      </c>
      <c r="B25" s="4" t="n">
        <v>24660</v>
      </c>
    </row>
    <row r="26" customFormat="false" ht="15" hidden="false" customHeight="false" outlineLevel="0" collapsed="false">
      <c r="A26" s="4" t="s">
        <v>72</v>
      </c>
      <c r="B26" s="4" t="n">
        <v>57318</v>
      </c>
    </row>
    <row r="27" customFormat="false" ht="15" hidden="false" customHeight="false" outlineLevel="0" collapsed="false">
      <c r="A27" s="4" t="s">
        <v>73</v>
      </c>
      <c r="B27" s="4" t="n">
        <v>58956</v>
      </c>
    </row>
    <row r="28" customFormat="false" ht="15" hidden="false" customHeight="false" outlineLevel="0" collapsed="false">
      <c r="A28" s="4" t="s">
        <v>74</v>
      </c>
      <c r="B28" s="4" t="n">
        <v>50425</v>
      </c>
    </row>
    <row r="29" customFormat="false" ht="15" hidden="false" customHeight="false" outlineLevel="0" collapsed="false">
      <c r="A29" s="4" t="s">
        <v>75</v>
      </c>
      <c r="B29" s="4" t="n">
        <v>18661</v>
      </c>
    </row>
    <row r="30" customFormat="false" ht="15" hidden="false" customHeight="false" outlineLevel="0" collapsed="false">
      <c r="A30" s="4" t="s">
        <v>76</v>
      </c>
      <c r="B30" s="4" t="n">
        <v>37787</v>
      </c>
    </row>
    <row r="31" customFormat="false" ht="15" hidden="false" customHeight="false" outlineLevel="0" collapsed="false">
      <c r="A31" s="4" t="s">
        <v>77</v>
      </c>
      <c r="B31" s="4" t="n">
        <v>29732</v>
      </c>
    </row>
    <row r="32" customFormat="false" ht="15" hidden="false" customHeight="false" outlineLevel="0" collapsed="false">
      <c r="A32" s="4" t="s">
        <v>78</v>
      </c>
      <c r="B32" s="4" t="n">
        <v>47981</v>
      </c>
    </row>
    <row r="33" customFormat="false" ht="15" hidden="false" customHeight="false" outlineLevel="0" collapsed="false">
      <c r="A33" s="4" t="s">
        <v>79</v>
      </c>
      <c r="B33" s="4" t="n">
        <v>47096</v>
      </c>
    </row>
    <row r="34" customFormat="false" ht="15" hidden="false" customHeight="false" outlineLevel="0" collapsed="false">
      <c r="A34" s="4" t="s">
        <v>80</v>
      </c>
      <c r="B34" s="4" t="n">
        <v>49664</v>
      </c>
    </row>
    <row r="35" customFormat="false" ht="15" hidden="false" customHeight="false" outlineLevel="0" collapsed="false">
      <c r="A35" s="4" t="s">
        <v>81</v>
      </c>
      <c r="B35" s="4" t="n">
        <v>29684</v>
      </c>
    </row>
    <row r="36" customFormat="false" ht="15" hidden="false" customHeight="false" outlineLevel="0" collapsed="false">
      <c r="A36" s="4" t="s">
        <v>82</v>
      </c>
      <c r="B36" s="4" t="n">
        <v>17586</v>
      </c>
    </row>
    <row r="37" customFormat="false" ht="15" hidden="false" customHeight="false" outlineLevel="0" collapsed="false">
      <c r="A37" s="4" t="s">
        <v>83</v>
      </c>
      <c r="B37" s="4" t="n">
        <v>25373</v>
      </c>
    </row>
    <row r="38" customFormat="false" ht="15" hidden="false" customHeight="false" outlineLevel="0" collapsed="false">
      <c r="A38" s="4" t="s">
        <v>84</v>
      </c>
      <c r="B38" s="4" t="n">
        <v>58941</v>
      </c>
    </row>
    <row r="39" customFormat="false" ht="15" hidden="false" customHeight="false" outlineLevel="0" collapsed="false">
      <c r="A39" s="4" t="s">
        <v>85</v>
      </c>
      <c r="B39" s="4" t="n">
        <v>52713</v>
      </c>
    </row>
    <row r="40" customFormat="false" ht="15" hidden="false" customHeight="false" outlineLevel="0" collapsed="false">
      <c r="A40" s="4" t="s">
        <v>86</v>
      </c>
      <c r="B40" s="4" t="n">
        <v>21374</v>
      </c>
    </row>
    <row r="41" customFormat="false" ht="15" hidden="false" customHeight="false" outlineLevel="0" collapsed="false">
      <c r="A41" s="4" t="s">
        <v>87</v>
      </c>
      <c r="B41" s="4" t="n">
        <v>27756</v>
      </c>
    </row>
    <row r="42" customFormat="false" ht="15" hidden="false" customHeight="false" outlineLevel="0" collapsed="false">
      <c r="A42" s="4" t="s">
        <v>88</v>
      </c>
      <c r="B42" s="4" t="n">
        <v>55307</v>
      </c>
    </row>
    <row r="43" customFormat="false" ht="15" hidden="false" customHeight="false" outlineLevel="0" collapsed="false">
      <c r="A43" s="4" t="s">
        <v>89</v>
      </c>
      <c r="B43" s="4" t="n">
        <v>58958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1" t="s">
        <v>90</v>
      </c>
    </row>
    <row r="2" customFormat="false" ht="15" hidden="false" customHeight="false" outlineLevel="0" collapsed="false">
      <c r="A2" s="11" t="s">
        <v>91</v>
      </c>
    </row>
    <row r="3" customFormat="false" ht="15" hidden="false" customHeight="false" outlineLevel="0" collapsed="false">
      <c r="A3" s="11" t="s">
        <v>92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1" t="s">
        <v>93</v>
      </c>
    </row>
    <row r="6" customFormat="false" ht="15" hidden="false" customHeight="false" outlineLevel="0" collapsed="false">
      <c r="A6" s="11" t="s">
        <v>94</v>
      </c>
    </row>
    <row r="7" customFormat="false" ht="15" hidden="false" customHeight="false" outlineLevel="0" collapsed="false">
      <c r="A7" s="11" t="s">
        <v>95</v>
      </c>
    </row>
    <row r="8" customFormat="false" ht="15" hidden="false" customHeight="false" outlineLevel="0" collapsed="false">
      <c r="A8" s="11" t="s">
        <v>96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1" t="s">
        <v>97</v>
      </c>
    </row>
    <row r="11" customFormat="false" ht="15" hidden="false" customHeight="false" outlineLevel="0" collapsed="false">
      <c r="A11" s="11" t="s">
        <v>98</v>
      </c>
    </row>
    <row r="12" customFormat="false" ht="15" hidden="false" customHeight="false" outlineLevel="0" collapsed="false">
      <c r="A12" s="11" t="s">
        <v>99</v>
      </c>
    </row>
    <row r="13" customFormat="false" ht="15" hidden="false" customHeight="false" outlineLevel="0" collapsed="false">
      <c r="A13" s="11"/>
    </row>
    <row r="14" customFormat="false" ht="15" hidden="false" customHeight="false" outlineLevel="0" collapsed="false">
      <c r="A14" s="11" t="s">
        <v>100</v>
      </c>
    </row>
    <row r="15" customFormat="false" ht="15" hidden="false" customHeight="false" outlineLevel="0" collapsed="false">
      <c r="A15" s="11" t="s">
        <v>101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102</v>
      </c>
    </row>
    <row r="18" customFormat="false" ht="15" hidden="false" customHeight="false" outlineLevel="0" collapsed="false">
      <c r="A18" s="11" t="s">
        <v>103</v>
      </c>
    </row>
    <row r="19" customFormat="false" ht="15" hidden="false" customHeight="false" outlineLevel="0" collapsed="false">
      <c r="A19" s="11"/>
    </row>
    <row r="20" customFormat="false" ht="15" hidden="false" customHeight="false" outlineLevel="0" collapsed="false">
      <c r="A20" s="11" t="s">
        <v>104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11" t="s">
        <v>105</v>
      </c>
    </row>
    <row r="23" customFormat="false" ht="15" hidden="false" customHeight="false" outlineLevel="0" collapsed="false">
      <c r="A23" s="11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2026-10-13T19:23:49Z</dcterms:created>
  <dc:creator>openpyxl</dc:creator>
  <dc:description/>
  <dc:language>en-US</dc:language>
  <cp:lastModifiedBy/>
  <dcterms:modified xsi:type="dcterms:W3CDTF">2026-10-13T19:23:49Z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